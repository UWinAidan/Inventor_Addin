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1.vml" ContentType="application/vnd.openxmlformats-officedocument.vmlDrawing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edit" sheetId="1" state="visible" r:id="rId3"/>
    <sheet name="Settings" sheetId="2" state="visible" r:id="rId4"/>
    <sheet name="Clearance" sheetId="3" state="visible" r:id="rId5"/>
    <sheet name="Counterbore" sheetId="4" state="visible" r:id="rId6"/>
    <sheet name="Countersink" sheetId="5" state="visible" r:id="rId7"/>
    <sheet name="Spotface" sheetId="10" state="visible" r:id="rId13"/>
    <sheet name="Tapped" sheetId="6" state="visible" r:id="rId8"/>
    <sheet name="Taper Tapped" sheetId="11" state="visible" r:id="rId14"/>
    <sheet name="Dowel" sheetId="7" state="visible" r:id="rId9"/>
    <sheet name="Precision Tol" sheetId="8" state="visible" r:id="rId10"/>
    <sheet name="Drill Point" sheetId="9" state="visible" r:id="rId11"/>
  </sheets>
  <definedNames>
    <definedName function="false" hidden="true" localSheetId="2" name="_xlnm._FilterDatabase" vbProcedure="false">Clearance!$A$4:$G$23</definedName>
    <definedName function="false" hidden="true" localSheetId="3" name="_xlnm._FilterDatabase" vbProcedure="false">Counterbore!$A$4:$G$21</definedName>
    <definedName function="false" hidden="true" localSheetId="4" name="_xlnm._FilterDatabase" vbProcedure="false">Countersink!$A$4:$G$21</definedName>
    <definedName function="false" hidden="true" localSheetId="8" name="_xlnm._FilterDatabase" vbProcedure="false">Dowel!$A$4:$D$20</definedName>
    <definedName function="false" hidden="true" localSheetId="10" name="_xlnm._FilterDatabase" vbProcedure="false">'Drill Point'!$A$4:$E$7</definedName>
    <definedName function="false" hidden="true" localSheetId="9" name="_xlnm._FilterDatabase" vbProcedure="false">'Precision Tol'!$A$4:$I$12</definedName>
    <definedName function="false" hidden="true" localSheetId="6" name="_xlnm._FilterDatabase" vbProcedure="false">Tapped!$A$4:$I$26</definedName>
    <definedName function="false" hidden="true" localSheetId="5" name="_xlnm._FilterDatabase" vbProcedure="false">Spotface!$A$4:$E$21</definedName>
    <definedName function="false" hidden="true" localSheetId="7" name="_xlnm._FilterDatabase" vbProcedure="false">'Taper Tapped'!$A$4:$G$15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Example: add 'Press, bearing bore' as a new Press row with its own tolerance.</t>
        </r>
      </text>
    </comment>
  </commentList>
</comments>
</file>

<file path=xl/sharedStrings.xml><?xml version="1.0" encoding="utf-8"?>
<sst xmlns="http://schemas.openxmlformats.org/spreadsheetml/2006/main" count="675" uniqueCount="207">
  <si>
    <t xml:space="preserve">AWB Hole Data</t>
  </si>
  <si>
    <t xml:space="preserve">Every option in the AWB Hole window comes from this workbook. Edit it in Excel; the add-in reads it the next time the window opens.</t>
  </si>
  <si>
    <t xml:space="preserve">Colour key</t>
  </si>
  <si>
    <t xml:space="preserve">Yellow cells: your values. Change them freely.</t>
  </si>
  <si>
    <t xml:space="preserve">Grey cells: calculated from other cells (formulas). Leave them alone.</t>
  </si>
  <si>
    <t xml:space="preserve">Rules</t>
  </si>
  <si>
    <t xml:space="preserve">One row per size. Units column: Metric rows are in mm, Imperial rows are in inches.</t>
  </si>
  <si>
    <t xml:space="preserve">Show = N hides a size from the window without deleting it.</t>
  </si>
  <si>
    <t xml:space="preserve">Add a size: copy a row, paste it below, change the values. Order of rows is the order in the dropdown.</t>
  </si>
  <si>
    <t xml:space="preserve">Do not rename the tabs or the column headings; the add-in finds data by those names.</t>
  </si>
  <si>
    <t xml:space="preserve">Tabs</t>
  </si>
  <si>
    <t xml:space="preserve">Settings: tap depth rule, drill extra depth, blind hole depth, fit colours, default units.</t>
  </si>
  <si>
    <t xml:space="preserve">Clearance: bolt clearance hole diameters for Close, Normal and Loose fit.</t>
  </si>
  <si>
    <t xml:space="preserve">Counterbore: counterbore diameter and depth for socket head cap screws.</t>
  </si>
  <si>
    <t xml:space="preserve">Countersink: countersink diameter and angle for flat head screws.</t>
  </si>
  <si>
    <t xml:space="preserve">Tapped: tap drill per thread; default thread and drill depths are calculated from Settings and can be changed per hole in the window.</t>
  </si>
  <si>
    <t xml:space="preserve">Dowel: dowel and precision hole sizes. Cbore dia, Cbore depth, Csink dia and Csink angle are where the counterbore or countersink of a dowel hole starts; they follow no screw, and can be changed per hole in the window.</t>
  </si>
  <si>
    <t xml:space="preserve">Drill Point: bottom shapes for blind holes (118 deg, 90 deg, flat), and which one is the default.</t>
  </si>
  <si>
    <t xml:space="preserve">Precision Tol: the tolerances offered for each fit. One row per tolerance; add rows for new purposes (e.g. Press, bearing bore).</t>
  </si>
  <si>
    <t xml:space="preserve">STARTER VALUES: every number here is a common default to get started. Check each against how you spec holes before relying on it.</t>
  </si>
  <si>
    <t xml:space="preserve">Settings</t>
  </si>
  <si>
    <t xml:space="preserve">Setting</t>
  </si>
  <si>
    <t xml:space="preserve">Value</t>
  </si>
  <si>
    <t xml:space="preserve">Meaning</t>
  </si>
  <si>
    <t xml:space="preserve">R</t>
  </si>
  <si>
    <t xml:space="preserve">G</t>
  </si>
  <si>
    <t xml:space="preserve">B</t>
  </si>
  <si>
    <t xml:space="preserve">Swatch</t>
  </si>
  <si>
    <t xml:space="preserve">Default units</t>
  </si>
  <si>
    <t xml:space="preserve">Metric</t>
  </si>
  <si>
    <t xml:space="preserve">Units the window opens in (Metric or Imperial).</t>
  </si>
  <si>
    <t xml:space="preserve">Thread depth (x D)</t>
  </si>
  <si>
    <t xml:space="preserve">Default thread depth = this x nominal diameter. Editable per hole in the window.</t>
  </si>
  <si>
    <t xml:space="preserve">Drill extra depth (x D)</t>
  </si>
  <si>
    <t xml:space="preserve">Default tap drill depth = thread depth + this x nominal diameter.</t>
  </si>
  <si>
    <t xml:space="preserve">Press fit colour</t>
  </si>
  <si>
    <t xml:space="preserve">Red</t>
  </si>
  <si>
    <t xml:space="preserve">Colour of press fit holes. RGB in the next columns.</t>
  </si>
  <si>
    <t xml:space="preserve">Normal fit colour</t>
  </si>
  <si>
    <t xml:space="preserve">Blue</t>
  </si>
  <si>
    <t xml:space="preserve">Colour of normal fit holes.</t>
  </si>
  <si>
    <t xml:space="preserve">Slip fit colour</t>
  </si>
  <si>
    <t xml:space="preserve">Green</t>
  </si>
  <si>
    <t xml:space="preserve">Colour of slip fit holes.</t>
  </si>
  <si>
    <t xml:space="preserve">Clearance holes</t>
  </si>
  <si>
    <t xml:space="preserve">Hole diameter for each fit. Metric starter values from ISO 273 fine / medium / coarse; imperial from common close / free drill sizes. Check them.</t>
  </si>
  <si>
    <t xml:space="preserve">Units</t>
  </si>
  <si>
    <t xml:space="preserve">Size</t>
  </si>
  <si>
    <t xml:space="preserve">Nominal</t>
  </si>
  <si>
    <t xml:space="preserve">Close</t>
  </si>
  <si>
    <t xml:space="preserve">Normal</t>
  </si>
  <si>
    <t xml:space="preserve">Loose</t>
  </si>
  <si>
    <t xml:space="preserve">Show</t>
  </si>
  <si>
    <t xml:space="preserve">M2</t>
  </si>
  <si>
    <t xml:space="preserve">Y</t>
  </si>
  <si>
    <t xml:space="preserve">M2.5</t>
  </si>
  <si>
    <t xml:space="preserve">M3</t>
  </si>
  <si>
    <t xml:space="preserve">M4</t>
  </si>
  <si>
    <t xml:space="preserve">M5</t>
  </si>
  <si>
    <t xml:space="preserve">M6</t>
  </si>
  <si>
    <t xml:space="preserve">M8</t>
  </si>
  <si>
    <t xml:space="preserve">M10</t>
  </si>
  <si>
    <t xml:space="preserve">M12</t>
  </si>
  <si>
    <t xml:space="preserve">M16</t>
  </si>
  <si>
    <t xml:space="preserve">M20</t>
  </si>
  <si>
    <t xml:space="preserve">Imperial</t>
  </si>
  <si>
    <t xml:space="preserve">#4</t>
  </si>
  <si>
    <t xml:space="preserve">#6</t>
  </si>
  <si>
    <t xml:space="preserve">#8</t>
  </si>
  <si>
    <t xml:space="preserve">#10</t>
  </si>
  <si>
    <t xml:space="preserve">1/4</t>
  </si>
  <si>
    <t xml:space="preserve">5/16</t>
  </si>
  <si>
    <t xml:space="preserve">3/8</t>
  </si>
  <si>
    <t xml:space="preserve">1/2</t>
  </si>
  <si>
    <t xml:space="preserve">Counterbores</t>
  </si>
  <si>
    <t xml:space="preserve">For socket head cap screws. The through hole uses the Clearance tab at the fit in 'Hole fit'. Head sits just below the surface at this depth.</t>
  </si>
  <si>
    <t xml:space="preserve">Screw</t>
  </si>
  <si>
    <t xml:space="preserve">Cbore dia</t>
  </si>
  <si>
    <t xml:space="preserve">Cbore depth</t>
  </si>
  <si>
    <t xml:space="preserve">Hole fit</t>
  </si>
  <si>
    <t xml:space="preserve">SHCS</t>
  </si>
  <si>
    <t xml:space="preserve">Countersinks</t>
  </si>
  <si>
    <t xml:space="preserve">For flat head socket screws: metric 90 degrees, imperial 82 degrees. Diameter is a little over the screw's max head diameter so the head sits flush.</t>
  </si>
  <si>
    <t xml:space="preserve">Csink dia</t>
  </si>
  <si>
    <t xml:space="preserve">Angle (deg)</t>
  </si>
  <si>
    <t xml:space="preserve">FHCS</t>
  </si>
  <si>
    <t xml:space="preserve">Tapped holes</t>
  </si>
  <si>
    <t xml:space="preserve">Tap drill per thread. Default depths are calculated from Settings (thread 1.5 x D, drill + 0.5 x D) and can be changed per hole in the window.</t>
  </si>
  <si>
    <t xml:space="preserve">Thread</t>
  </si>
  <si>
    <t xml:space="preserve">Pitch / TPI</t>
  </si>
  <si>
    <t xml:space="preserve">Tap drill</t>
  </si>
  <si>
    <t xml:space="preserve">Class</t>
  </si>
  <si>
    <t xml:space="preserve">Default thread depth</t>
  </si>
  <si>
    <t xml:space="preserve">Default drill depth</t>
  </si>
  <si>
    <t xml:space="preserve">0.4</t>
  </si>
  <si>
    <t xml:space="preserve">6H</t>
  </si>
  <si>
    <t xml:space="preserve">0.45</t>
  </si>
  <si>
    <t xml:space="preserve">0.5</t>
  </si>
  <si>
    <t xml:space="preserve">0.7</t>
  </si>
  <si>
    <t xml:space="preserve">0.8</t>
  </si>
  <si>
    <t xml:space="preserve">1.0</t>
  </si>
  <si>
    <t xml:space="preserve">1.25</t>
  </si>
  <si>
    <t xml:space="preserve">1.5</t>
  </si>
  <si>
    <t xml:space="preserve">1.75</t>
  </si>
  <si>
    <t xml:space="preserve">2.0</t>
  </si>
  <si>
    <t xml:space="preserve">2.5</t>
  </si>
  <si>
    <t xml:space="preserve">#4-40 UNC</t>
  </si>
  <si>
    <t xml:space="preserve">40</t>
  </si>
  <si>
    <t xml:space="preserve">2B</t>
  </si>
  <si>
    <t xml:space="preserve">#6-32 UNC</t>
  </si>
  <si>
    <t xml:space="preserve">32</t>
  </si>
  <si>
    <t xml:space="preserve">#8-32 UNC</t>
  </si>
  <si>
    <t xml:space="preserve">#10-24 UNC</t>
  </si>
  <si>
    <t xml:space="preserve">24</t>
  </si>
  <si>
    <t xml:space="preserve">#10-32 UNF</t>
  </si>
  <si>
    <t xml:space="preserve">1/4-20 UNC</t>
  </si>
  <si>
    <t xml:space="preserve">20</t>
  </si>
  <si>
    <t xml:space="preserve">5/16-18 UNC</t>
  </si>
  <si>
    <t xml:space="preserve">18</t>
  </si>
  <si>
    <t xml:space="preserve">3/8-16 UNC</t>
  </si>
  <si>
    <t xml:space="preserve">16</t>
  </si>
  <si>
    <t xml:space="preserve">1/2-13 UNC</t>
  </si>
  <si>
    <t xml:space="preserve">13</t>
  </si>
  <si>
    <t xml:space="preserve">5/8-11 UNC</t>
  </si>
  <si>
    <t xml:space="preserve">11</t>
  </si>
  <si>
    <t xml:space="preserve">3/4-10 UNC</t>
  </si>
  <si>
    <t xml:space="preserve">10</t>
  </si>
  <si>
    <t xml:space="preserve">Dowel and precision hole sizes</t>
  </si>
  <si>
    <t xml:space="preserve">Nominal sizes offered for dowel and precision holes. The tolerance comes from the Precision Tol tab.</t>
  </si>
  <si>
    <t xml:space="preserve">2 mm</t>
  </si>
  <si>
    <t xml:space="preserve">2.5 mm</t>
  </si>
  <si>
    <t xml:space="preserve">3 mm</t>
  </si>
  <si>
    <t xml:space="preserve">4 mm</t>
  </si>
  <si>
    <t xml:space="preserve">5 mm</t>
  </si>
  <si>
    <t xml:space="preserve">6 mm</t>
  </si>
  <si>
    <t xml:space="preserve">8 mm</t>
  </si>
  <si>
    <t xml:space="preserve">10 mm</t>
  </si>
  <si>
    <t xml:space="preserve">12 mm</t>
  </si>
  <si>
    <t xml:space="preserve">16 mm</t>
  </si>
  <si>
    <t xml:space="preserve">1/8"</t>
  </si>
  <si>
    <t xml:space="preserve">3/16"</t>
  </si>
  <si>
    <t xml:space="preserve">1/4"</t>
  </si>
  <si>
    <t xml:space="preserve">5/16"</t>
  </si>
  <si>
    <t xml:space="preserve">3/8"</t>
  </si>
  <si>
    <t xml:space="preserve">1/2"</t>
  </si>
  <si>
    <t xml:space="preserve">Precision hole tolerances</t>
  </si>
  <si>
    <t xml:space="preserve">One row per tolerance. The window lists the rows for the chosen fit; Default = Y is preselected. Type ISO uses the ISO code (limits worked out per size); Type Limits uses the Upper and Lower columns.</t>
  </si>
  <si>
    <t xml:space="preserve">Fit</t>
  </si>
  <si>
    <t xml:space="preserve">Name / purpose</t>
  </si>
  <si>
    <t xml:space="preserve">Type</t>
  </si>
  <si>
    <t xml:space="preserve">ISO code</t>
  </si>
  <si>
    <t xml:space="preserve">Upper</t>
  </si>
  <si>
    <t xml:space="preserve">Lower</t>
  </si>
  <si>
    <t xml:space="preserve">Default</t>
  </si>
  <si>
    <t xml:space="preserve">Note</t>
  </si>
  <si>
    <t xml:space="preserve">Press</t>
  </si>
  <si>
    <t xml:space="preserve">Dowel pin, standard press</t>
  </si>
  <si>
    <t xml:space="preserve">ISO</t>
  </si>
  <si>
    <t xml:space="preserve">N7</t>
  </si>
  <si>
    <t xml:space="preserve">With an m6 dowel pin: light interference.</t>
  </si>
  <si>
    <t xml:space="preserve">Heavy press</t>
  </si>
  <si>
    <t xml:space="preserve">P7</t>
  </si>
  <si>
    <t xml:space="preserve">N</t>
  </si>
  <si>
    <t xml:space="preserve">Firmer press; for pins that must never move.</t>
  </si>
  <si>
    <t xml:space="preserve">Location fit</t>
  </si>
  <si>
    <t xml:space="preserve">H7</t>
  </si>
  <si>
    <t xml:space="preserve">The usual reamed dowel hole.</t>
  </si>
  <si>
    <t xml:space="preserve">Slip</t>
  </si>
  <si>
    <t xml:space="preserve">Slip fit, removable</t>
  </si>
  <si>
    <t xml:space="preserve">G7</t>
  </si>
  <si>
    <t xml:space="preserve">Pin slides in by hand.</t>
  </si>
  <si>
    <t xml:space="preserve">Loose slip</t>
  </si>
  <si>
    <t xml:space="preserve">F7</t>
  </si>
  <si>
    <t xml:space="preserve">Easy assembly, some play.</t>
  </si>
  <si>
    <t xml:space="preserve">Limits</t>
  </si>
  <si>
    <t xml:space="preserve">Relative to nominal, inches.</t>
  </si>
  <si>
    <t xml:space="preserve">Blind hole bottoms</t>
  </si>
  <si>
    <t xml:space="preserve">Bottom shape offered for blind holes. Default = Y is preselected. Flat leaves Angle blank.</t>
  </si>
  <si>
    <t xml:space="preserve">Name</t>
  </si>
  <si>
    <t xml:space="preserve">118 deg</t>
  </si>
  <si>
    <t xml:space="preserve">Standard twist drill point.</t>
  </si>
  <si>
    <t xml:space="preserve">90 deg</t>
  </si>
  <si>
    <t xml:space="preserve">Spot drill / 90 degree point.</t>
  </si>
  <si>
    <t xml:space="preserve">Flat</t>
  </si>
  <si>
    <t xml:space="preserve">Flat bottom (end mill or flat-bottom drill). Angle left blank.</t>
  </si>
  <si>
    <t xml:space="preserve">Blind depth multiplier</t>
  </si>
  <si>
    <t xml:space="preserve">A new blind clearance or dowel hole starts at the last depth used; the first time, at this x nominal diameter.</t>
  </si>
  <si>
    <t xml:space="preserve">Csink angle</t>
  </si>
  <si>
    <t xml:space="preserve">Spotfaces</t>
  </si>
  <si>
    <t xml:space="preserve">A shallow flat seat for a bolt head or washer on a rough or sloping face. One row per hole size, matched by Size to the Clearance, Tapped and Dowel sizes. Starter values; check them. Spotface depth may be 0.</t>
  </si>
  <si>
    <t xml:space="preserve">Spotface dia</t>
  </si>
  <si>
    <t xml:space="preserve">Spotface depth</t>
  </si>
  <si>
    <t xml:space="preserve">Taper tapped holes</t>
  </si>
  <si>
    <t xml:space="preserve">Tapered pipe threads. Thread type and Size must match Inventor's thread table (for example NPT 1/4, BSP Taper Internal Rc 1/4). Tap drill is for notes and hole tables; Inventor models its own. Default depths are calculated from Settings with the tap drill as D.</t>
  </si>
  <si>
    <t xml:space="preserve">Thread type</t>
  </si>
  <si>
    <t xml:space="preserve">Rc 1/8</t>
  </si>
  <si>
    <t xml:space="preserve">BSP Taper Internal</t>
  </si>
  <si>
    <t xml:space="preserve">Rc 1/4</t>
  </si>
  <si>
    <t xml:space="preserve">Rc 3/8</t>
  </si>
  <si>
    <t xml:space="preserve">Rc 1/2</t>
  </si>
  <si>
    <t xml:space="preserve">Rc 3/4</t>
  </si>
  <si>
    <t xml:space="preserve">1/16</t>
  </si>
  <si>
    <t xml:space="preserve">NPT</t>
  </si>
  <si>
    <t xml:space="preserve">1/8</t>
  </si>
  <si>
    <t xml:space="preserve">3/4</t>
  </si>
  <si>
    <t xml:space="preserve">Spotface: spotface diameter and depth per hole size; a spotface on a clearance, tapped or dowel hole of that size starts from them. Optional: a workbook without this tab still loads.</t>
  </si>
  <si>
    <t xml:space="preserve">Taper Tapped: tapered pipe threads (NPT, BSPT); Thread type and Size as Inventor's thread table names them. Tap drill is for notes and hole tables. Optional: a workbook without this tab still loads.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</si>
</sst>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#"/>
    <numFmt numFmtId="166" formatCode="\+0.0000;\-0.0000;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606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7E9ED"/>
      </patternFill>
    </fill>
    <fill>
      <patternFill patternType="solid">
        <fgColor rgb="FFE7E9ED"/>
        <bgColor rgb="FFFFF2CC"/>
      </patternFill>
    </fill>
    <fill>
      <patternFill patternType="solid">
        <fgColor rgb="FF2B303B"/>
        <bgColor rgb="FF333300"/>
      </patternFill>
    </fill>
    <fill>
      <patternFill patternType="solid">
        <fgColor rgb="FFDC2828"/>
        <bgColor rgb="FFB3261E"/>
      </patternFill>
    </fill>
    <fill>
      <patternFill patternType="solid">
        <fgColor rgb="FF2864DC"/>
        <bgColor rgb="FF0066CC"/>
      </patternFill>
    </fill>
    <fill>
      <patternFill patternType="solid">
        <fgColor rgb="FF28AA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B303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9ED"/>
          <bgColor rgb="FF000000"/>
        </patternFill>
      </fill>
    </dxf>
  </dxfs>
  <colors>
    <indexedColors>
      <rgbColor rgb="FF000000"/>
      <rgbColor rgb="FFFFFFFF"/>
      <rgbColor rgb="FFDC28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9ED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864DC"/>
      <rgbColor rgb="FF33CCCC"/>
      <rgbColor rgb="FF99CC00"/>
      <rgbColor rgb="FFFFCC00"/>
      <rgbColor rgb="FFFF9900"/>
      <rgbColor rgb="FFFF6600"/>
      <rgbColor rgb="FF55606F"/>
      <rgbColor rgb="FF969696"/>
      <rgbColor rgb="FF003366"/>
      <rgbColor rgb="FF28AA46"/>
      <rgbColor rgb="FF003300"/>
      <rgbColor rgb="FF333300"/>
      <rgbColor rgb="FFB3261E"/>
      <rgbColor rgb="FF993366"/>
      <rgbColor rgb="FF333399"/>
      <rgbColor rgb="FF2B3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205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206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6" min="4" style="0" width="6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7" t="s">
        <v>20</v>
      </c>
    </row>
    <row r="3" customFormat="false" ht="15" hidden="false" customHeight="false" outlineLevel="0" collapsed="false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</row>
    <row r="4" customFormat="false" ht="15" hidden="false" customHeight="false" outlineLevel="0" collapsed="false">
      <c r="A4" s="9" t="s">
        <v>28</v>
      </c>
      <c r="B4" s="10" t="s">
        <v>29</v>
      </c>
      <c r="C4" s="9" t="s">
        <v>30</v>
      </c>
    </row>
    <row r="5" customFormat="false" ht="15" hidden="false" customHeight="false" outlineLevel="0" collapsed="false">
      <c r="A5" s="9" t="s">
        <v>31</v>
      </c>
      <c r="B5" s="10" t="n">
        <v>1.5</v>
      </c>
      <c r="C5" s="9" t="s">
        <v>32</v>
      </c>
    </row>
    <row r="6" customFormat="false" ht="15" hidden="false" customHeight="false" outlineLevel="0" collapsed="false">
      <c r="A6" s="9" t="s">
        <v>33</v>
      </c>
      <c r="B6" s="10" t="n">
        <v>0.5</v>
      </c>
      <c r="C6" s="9" t="s">
        <v>34</v>
      </c>
    </row>
    <row r="7" customFormat="false" ht="15" hidden="false" customHeight="false" outlineLevel="0" collapsed="false">
      <c r="A7" s="9" t="s">
        <v>185</v>
      </c>
      <c r="B7" s="10" t="n">
        <v>2</v>
      </c>
      <c r="C7" s="9" t="s">
        <v>186</v>
      </c>
    </row>
    <row r="8" customFormat="false" ht="15" hidden="false" customHeight="false" outlineLevel="0" collapsed="false">
      <c r="A8" s="9" t="s">
        <v>35</v>
      </c>
      <c r="B8" s="10" t="s">
        <v>36</v>
      </c>
      <c r="C8" s="9" t="s">
        <v>37</v>
      </c>
      <c r="D8" s="10" t="n">
        <v>220</v>
      </c>
      <c r="E8" s="10" t="n">
        <v>40</v>
      </c>
      <c r="F8" s="10" t="n">
        <v>40</v>
      </c>
      <c r="G8" s="11"/>
    </row>
    <row r="9" customFormat="false" ht="15" hidden="false" customHeight="false" outlineLevel="0" collapsed="false">
      <c r="A9" s="9" t="s">
        <v>38</v>
      </c>
      <c r="B9" s="10" t="s">
        <v>39</v>
      </c>
      <c r="C9" s="9" t="s">
        <v>40</v>
      </c>
      <c r="D9" s="10" t="n">
        <v>40</v>
      </c>
      <c r="E9" s="10" t="n">
        <v>100</v>
      </c>
      <c r="F9" s="10" t="n">
        <v>220</v>
      </c>
      <c r="G9" s="12"/>
    </row>
    <row r="10" customFormat="false" ht="15" hidden="false" customHeight="false" outlineLevel="0" collapsed="false">
      <c r="A10" s="9" t="s">
        <v>41</v>
      </c>
      <c r="B10" s="10" t="s">
        <v>42</v>
      </c>
      <c r="C10" s="9" t="s">
        <v>43</v>
      </c>
      <c r="D10" s="10" t="n">
        <v>40</v>
      </c>
      <c r="E10" s="10" t="n">
        <v>170</v>
      </c>
      <c r="F10" s="10" t="n">
        <v>70</v>
      </c>
      <c r="G10" s="13"/>
    </row>
  </sheetData>
  <dataValidations count="1">
    <dataValidation allowBlank="false" errorStyle="stop" operator="between" showDropDown="false" showErrorMessage="false" showInputMessage="false" sqref="B4" type="list">
      <formula1>"Metric,Imperial"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0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7" t="s">
        <v>44</v>
      </c>
    </row>
    <row r="2" customFormat="false" ht="15" hidden="false" customHeight="false" outlineLevel="0" collapsed="false">
      <c r="A2" s="14" t="s">
        <v>45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</row>
    <row r="5" customFormat="false" ht="15" hidden="false" customHeight="false" outlineLevel="0" collapsed="false">
      <c r="A5" s="10" t="s">
        <v>29</v>
      </c>
      <c r="B5" s="10" t="s">
        <v>53</v>
      </c>
      <c r="C5" s="16" t="n">
        <v>2</v>
      </c>
      <c r="D5" s="16" t="n">
        <v>2.2</v>
      </c>
      <c r="E5" s="16" t="n">
        <v>2.4</v>
      </c>
      <c r="F5" s="16" t="n">
        <v>2.6</v>
      </c>
      <c r="G5" s="10" t="s">
        <v>54</v>
      </c>
    </row>
    <row r="6" customFormat="false" ht="15" hidden="false" customHeight="false" outlineLevel="0" collapsed="false">
      <c r="A6" s="10" t="s">
        <v>29</v>
      </c>
      <c r="B6" s="10" t="s">
        <v>55</v>
      </c>
      <c r="C6" s="16" t="n">
        <v>2.5</v>
      </c>
      <c r="D6" s="16" t="n">
        <v>2.7</v>
      </c>
      <c r="E6" s="16" t="n">
        <v>2.9</v>
      </c>
      <c r="F6" s="16" t="n">
        <v>3.1</v>
      </c>
      <c r="G6" s="10" t="s">
        <v>54</v>
      </c>
    </row>
    <row r="7" customFormat="false" ht="15" hidden="false" customHeight="false" outlineLevel="0" collapsed="false">
      <c r="A7" s="10" t="s">
        <v>29</v>
      </c>
      <c r="B7" s="10" t="s">
        <v>56</v>
      </c>
      <c r="C7" s="16" t="n">
        <v>3</v>
      </c>
      <c r="D7" s="16" t="n">
        <v>3.2</v>
      </c>
      <c r="E7" s="16" t="n">
        <v>3.4</v>
      </c>
      <c r="F7" s="16" t="n">
        <v>3.6</v>
      </c>
      <c r="G7" s="10" t="s">
        <v>54</v>
      </c>
    </row>
    <row r="8" customFormat="false" ht="15" hidden="false" customHeight="false" outlineLevel="0" collapsed="false">
      <c r="A8" s="10" t="s">
        <v>29</v>
      </c>
      <c r="B8" s="10" t="s">
        <v>57</v>
      </c>
      <c r="C8" s="16" t="n">
        <v>4</v>
      </c>
      <c r="D8" s="16" t="n">
        <v>4.3</v>
      </c>
      <c r="E8" s="16" t="n">
        <v>4.5</v>
      </c>
      <c r="F8" s="16" t="n">
        <v>4.8</v>
      </c>
      <c r="G8" s="10" t="s">
        <v>54</v>
      </c>
    </row>
    <row r="9" customFormat="false" ht="15" hidden="false" customHeight="false" outlineLevel="0" collapsed="false">
      <c r="A9" s="10" t="s">
        <v>29</v>
      </c>
      <c r="B9" s="10" t="s">
        <v>58</v>
      </c>
      <c r="C9" s="16" t="n">
        <v>5</v>
      </c>
      <c r="D9" s="16" t="n">
        <v>5.3</v>
      </c>
      <c r="E9" s="16" t="n">
        <v>5.5</v>
      </c>
      <c r="F9" s="16" t="n">
        <v>5.8</v>
      </c>
      <c r="G9" s="10" t="s">
        <v>54</v>
      </c>
    </row>
    <row r="10" customFormat="false" ht="15" hidden="false" customHeight="false" outlineLevel="0" collapsed="false">
      <c r="A10" s="10" t="s">
        <v>29</v>
      </c>
      <c r="B10" s="10" t="s">
        <v>59</v>
      </c>
      <c r="C10" s="16" t="n">
        <v>6</v>
      </c>
      <c r="D10" s="16" t="n">
        <v>6.4</v>
      </c>
      <c r="E10" s="16" t="n">
        <v>6.6</v>
      </c>
      <c r="F10" s="16" t="n">
        <v>7</v>
      </c>
      <c r="G10" s="10" t="s">
        <v>54</v>
      </c>
    </row>
    <row r="11" customFormat="false" ht="15" hidden="false" customHeight="false" outlineLevel="0" collapsed="false">
      <c r="A11" s="10" t="s">
        <v>29</v>
      </c>
      <c r="B11" s="10" t="s">
        <v>60</v>
      </c>
      <c r="C11" s="16" t="n">
        <v>8</v>
      </c>
      <c r="D11" s="16" t="n">
        <v>8.4</v>
      </c>
      <c r="E11" s="16" t="n">
        <v>9</v>
      </c>
      <c r="F11" s="16" t="n">
        <v>10</v>
      </c>
      <c r="G11" s="10" t="s">
        <v>54</v>
      </c>
    </row>
    <row r="12" customFormat="false" ht="15" hidden="false" customHeight="false" outlineLevel="0" collapsed="false">
      <c r="A12" s="10" t="s">
        <v>29</v>
      </c>
      <c r="B12" s="10" t="s">
        <v>61</v>
      </c>
      <c r="C12" s="16" t="n">
        <v>10</v>
      </c>
      <c r="D12" s="16" t="n">
        <v>10.5</v>
      </c>
      <c r="E12" s="16" t="n">
        <v>11</v>
      </c>
      <c r="F12" s="16" t="n">
        <v>12</v>
      </c>
      <c r="G12" s="10" t="s">
        <v>54</v>
      </c>
    </row>
    <row r="13" customFormat="false" ht="15" hidden="false" customHeight="false" outlineLevel="0" collapsed="false">
      <c r="A13" s="10" t="s">
        <v>29</v>
      </c>
      <c r="B13" s="10" t="s">
        <v>62</v>
      </c>
      <c r="C13" s="16" t="n">
        <v>12</v>
      </c>
      <c r="D13" s="16" t="n">
        <v>13</v>
      </c>
      <c r="E13" s="16" t="n">
        <v>13.5</v>
      </c>
      <c r="F13" s="16" t="n">
        <v>14.5</v>
      </c>
      <c r="G13" s="10" t="s">
        <v>54</v>
      </c>
    </row>
    <row r="14" customFormat="false" ht="15" hidden="false" customHeight="false" outlineLevel="0" collapsed="false">
      <c r="A14" s="10" t="s">
        <v>29</v>
      </c>
      <c r="B14" s="10" t="s">
        <v>63</v>
      </c>
      <c r="C14" s="16" t="n">
        <v>16</v>
      </c>
      <c r="D14" s="16" t="n">
        <v>17</v>
      </c>
      <c r="E14" s="16" t="n">
        <v>17.5</v>
      </c>
      <c r="F14" s="16" t="n">
        <v>18.5</v>
      </c>
      <c r="G14" s="10" t="s">
        <v>54</v>
      </c>
    </row>
    <row r="15" customFormat="false" ht="15" hidden="false" customHeight="false" outlineLevel="0" collapsed="false">
      <c r="A15" s="10" t="s">
        <v>29</v>
      </c>
      <c r="B15" s="10" t="s">
        <v>64</v>
      </c>
      <c r="C15" s="16" t="n">
        <v>20</v>
      </c>
      <c r="D15" s="16" t="n">
        <v>21</v>
      </c>
      <c r="E15" s="16" t="n">
        <v>22</v>
      </c>
      <c r="F15" s="16" t="n">
        <v>24</v>
      </c>
      <c r="G15" s="10" t="s">
        <v>54</v>
      </c>
    </row>
    <row r="16" customFormat="false" ht="15" hidden="false" customHeight="false" outlineLevel="0" collapsed="false">
      <c r="A16" s="10" t="s">
        <v>65</v>
      </c>
      <c r="B16" s="10" t="s">
        <v>66</v>
      </c>
      <c r="C16" s="16" t="n">
        <v>0.112</v>
      </c>
      <c r="D16" s="16" t="n">
        <v>0.116</v>
      </c>
      <c r="E16" s="16" t="n">
        <v>0.1285</v>
      </c>
      <c r="F16" s="16" t="n">
        <v>0.144</v>
      </c>
      <c r="G16" s="10" t="s">
        <v>54</v>
      </c>
    </row>
    <row r="17" customFormat="false" ht="15" hidden="false" customHeight="false" outlineLevel="0" collapsed="false">
      <c r="A17" s="10" t="s">
        <v>65</v>
      </c>
      <c r="B17" s="10" t="s">
        <v>67</v>
      </c>
      <c r="C17" s="16" t="n">
        <v>0.138</v>
      </c>
      <c r="D17" s="16" t="n">
        <v>0.144</v>
      </c>
      <c r="E17" s="16" t="n">
        <v>0.1695</v>
      </c>
      <c r="F17" s="16" t="n">
        <v>0.1875</v>
      </c>
      <c r="G17" s="10" t="s">
        <v>54</v>
      </c>
    </row>
    <row r="18" customFormat="false" ht="15" hidden="false" customHeight="false" outlineLevel="0" collapsed="false">
      <c r="A18" s="10" t="s">
        <v>65</v>
      </c>
      <c r="B18" s="10" t="s">
        <v>68</v>
      </c>
      <c r="C18" s="16" t="n">
        <v>0.164</v>
      </c>
      <c r="D18" s="16" t="n">
        <v>0.1695</v>
      </c>
      <c r="E18" s="16" t="n">
        <v>0.196</v>
      </c>
      <c r="F18" s="16" t="n">
        <v>0.213</v>
      </c>
      <c r="G18" s="10" t="s">
        <v>54</v>
      </c>
    </row>
    <row r="19" customFormat="false" ht="15" hidden="false" customHeight="false" outlineLevel="0" collapsed="false">
      <c r="A19" s="10" t="s">
        <v>65</v>
      </c>
      <c r="B19" s="10" t="s">
        <v>69</v>
      </c>
      <c r="C19" s="16" t="n">
        <v>0.19</v>
      </c>
      <c r="D19" s="16" t="n">
        <v>0.196</v>
      </c>
      <c r="E19" s="16" t="n">
        <v>0.221</v>
      </c>
      <c r="F19" s="16" t="n">
        <v>0.234</v>
      </c>
      <c r="G19" s="10" t="s">
        <v>54</v>
      </c>
    </row>
    <row r="20" customFormat="false" ht="15" hidden="false" customHeight="false" outlineLevel="0" collapsed="false">
      <c r="A20" s="10" t="s">
        <v>65</v>
      </c>
      <c r="B20" s="10" t="s">
        <v>70</v>
      </c>
      <c r="C20" s="16" t="n">
        <v>0.25</v>
      </c>
      <c r="D20" s="16" t="n">
        <v>0.257</v>
      </c>
      <c r="E20" s="16" t="n">
        <v>0.266</v>
      </c>
      <c r="F20" s="16" t="n">
        <v>0.281</v>
      </c>
      <c r="G20" s="10" t="s">
        <v>54</v>
      </c>
    </row>
    <row r="21" customFormat="false" ht="15" hidden="false" customHeight="false" outlineLevel="0" collapsed="false">
      <c r="A21" s="10" t="s">
        <v>65</v>
      </c>
      <c r="B21" s="10" t="s">
        <v>71</v>
      </c>
      <c r="C21" s="16" t="n">
        <v>0.3125</v>
      </c>
      <c r="D21" s="16" t="n">
        <v>0.323</v>
      </c>
      <c r="E21" s="16" t="n">
        <v>0.332</v>
      </c>
      <c r="F21" s="16" t="n">
        <v>0.3438</v>
      </c>
      <c r="G21" s="10" t="s">
        <v>54</v>
      </c>
    </row>
    <row r="22" customFormat="false" ht="15" hidden="false" customHeight="false" outlineLevel="0" collapsed="false">
      <c r="A22" s="10" t="s">
        <v>65</v>
      </c>
      <c r="B22" s="10" t="s">
        <v>72</v>
      </c>
      <c r="C22" s="16" t="n">
        <v>0.375</v>
      </c>
      <c r="D22" s="16" t="n">
        <v>0.386</v>
      </c>
      <c r="E22" s="16" t="n">
        <v>0.397</v>
      </c>
      <c r="F22" s="16" t="n">
        <v>0.4062</v>
      </c>
      <c r="G22" s="10" t="s">
        <v>54</v>
      </c>
    </row>
    <row r="23" customFormat="false" ht="15" hidden="false" customHeight="false" outlineLevel="0" collapsed="false">
      <c r="A23" s="10" t="s">
        <v>65</v>
      </c>
      <c r="B23" s="10" t="s">
        <v>73</v>
      </c>
      <c r="C23" s="16" t="n">
        <v>0.5</v>
      </c>
      <c r="D23" s="16" t="n">
        <v>0.5156</v>
      </c>
      <c r="E23" s="16" t="n">
        <v>0.5312</v>
      </c>
      <c r="F23" s="16" t="n">
        <v>0.5469</v>
      </c>
      <c r="G23" s="10" t="s">
        <v>54</v>
      </c>
    </row>
  </sheetData>
  <autoFilter ref="A4:G23"/>
  <dataValidations count="2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G5:G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7" t="s">
        <v>74</v>
      </c>
    </row>
    <row r="2" customFormat="false" ht="15" hidden="false" customHeight="false" outlineLevel="0" collapsed="false">
      <c r="A2" s="14" t="s">
        <v>75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76</v>
      </c>
      <c r="D4" s="15" t="s">
        <v>77</v>
      </c>
      <c r="E4" s="15" t="s">
        <v>78</v>
      </c>
      <c r="F4" s="15" t="s">
        <v>79</v>
      </c>
      <c r="G4" s="15" t="s">
        <v>52</v>
      </c>
    </row>
    <row r="5" customFormat="false" ht="15" hidden="false" customHeight="false" outlineLevel="0" collapsed="false">
      <c r="A5" s="10" t="s">
        <v>29</v>
      </c>
      <c r="B5" s="10" t="s">
        <v>56</v>
      </c>
      <c r="C5" s="10" t="s">
        <v>80</v>
      </c>
      <c r="D5" s="16" t="n">
        <v>6.5</v>
      </c>
      <c r="E5" s="16" t="n">
        <v>3.3</v>
      </c>
      <c r="F5" s="10" t="s">
        <v>50</v>
      </c>
      <c r="G5" s="10" t="s">
        <v>54</v>
      </c>
    </row>
    <row r="6" customFormat="false" ht="15" hidden="false" customHeight="false" outlineLevel="0" collapsed="false">
      <c r="A6" s="10" t="s">
        <v>29</v>
      </c>
      <c r="B6" s="10" t="s">
        <v>57</v>
      </c>
      <c r="C6" s="10" t="s">
        <v>80</v>
      </c>
      <c r="D6" s="16" t="n">
        <v>8</v>
      </c>
      <c r="E6" s="16" t="n">
        <v>4.4</v>
      </c>
      <c r="F6" s="10" t="s">
        <v>50</v>
      </c>
      <c r="G6" s="10" t="s">
        <v>54</v>
      </c>
    </row>
    <row r="7" customFormat="false" ht="15" hidden="false" customHeight="false" outlineLevel="0" collapsed="false">
      <c r="A7" s="10" t="s">
        <v>29</v>
      </c>
      <c r="B7" s="10" t="s">
        <v>58</v>
      </c>
      <c r="C7" s="10" t="s">
        <v>80</v>
      </c>
      <c r="D7" s="16" t="n">
        <v>9.5</v>
      </c>
      <c r="E7" s="16" t="n">
        <v>5.4</v>
      </c>
      <c r="F7" s="10" t="s">
        <v>50</v>
      </c>
      <c r="G7" s="10" t="s">
        <v>54</v>
      </c>
    </row>
    <row r="8" customFormat="false" ht="15" hidden="false" customHeight="false" outlineLevel="0" collapsed="false">
      <c r="A8" s="10" t="s">
        <v>29</v>
      </c>
      <c r="B8" s="10" t="s">
        <v>59</v>
      </c>
      <c r="C8" s="10" t="s">
        <v>80</v>
      </c>
      <c r="D8" s="16" t="n">
        <v>11</v>
      </c>
      <c r="E8" s="16" t="n">
        <v>6.5</v>
      </c>
      <c r="F8" s="10" t="s">
        <v>50</v>
      </c>
      <c r="G8" s="10" t="s">
        <v>54</v>
      </c>
    </row>
    <row r="9" customFormat="false" ht="15" hidden="false" customHeight="false" outlineLevel="0" collapsed="false">
      <c r="A9" s="10" t="s">
        <v>29</v>
      </c>
      <c r="B9" s="10" t="s">
        <v>60</v>
      </c>
      <c r="C9" s="10" t="s">
        <v>80</v>
      </c>
      <c r="D9" s="16" t="n">
        <v>14</v>
      </c>
      <c r="E9" s="16" t="n">
        <v>8.6</v>
      </c>
      <c r="F9" s="10" t="s">
        <v>50</v>
      </c>
      <c r="G9" s="10" t="s">
        <v>54</v>
      </c>
    </row>
    <row r="10" customFormat="false" ht="15" hidden="false" customHeight="false" outlineLevel="0" collapsed="false">
      <c r="A10" s="10" t="s">
        <v>29</v>
      </c>
      <c r="B10" s="10" t="s">
        <v>61</v>
      </c>
      <c r="C10" s="10" t="s">
        <v>80</v>
      </c>
      <c r="D10" s="16" t="n">
        <v>17.5</v>
      </c>
      <c r="E10" s="16" t="n">
        <v>10.8</v>
      </c>
      <c r="F10" s="10" t="s">
        <v>50</v>
      </c>
      <c r="G10" s="10" t="s">
        <v>54</v>
      </c>
    </row>
    <row r="11" customFormat="false" ht="15" hidden="false" customHeight="false" outlineLevel="0" collapsed="false">
      <c r="A11" s="10" t="s">
        <v>29</v>
      </c>
      <c r="B11" s="10" t="s">
        <v>62</v>
      </c>
      <c r="C11" s="10" t="s">
        <v>80</v>
      </c>
      <c r="D11" s="16" t="n">
        <v>20</v>
      </c>
      <c r="E11" s="16" t="n">
        <v>13</v>
      </c>
      <c r="F11" s="10" t="s">
        <v>50</v>
      </c>
      <c r="G11" s="10" t="s">
        <v>54</v>
      </c>
    </row>
    <row r="12" customFormat="false" ht="15" hidden="false" customHeight="false" outlineLevel="0" collapsed="false">
      <c r="A12" s="10" t="s">
        <v>29</v>
      </c>
      <c r="B12" s="10" t="s">
        <v>63</v>
      </c>
      <c r="C12" s="10" t="s">
        <v>80</v>
      </c>
      <c r="D12" s="16" t="n">
        <v>26</v>
      </c>
      <c r="E12" s="16" t="n">
        <v>17.5</v>
      </c>
      <c r="F12" s="10" t="s">
        <v>50</v>
      </c>
      <c r="G12" s="10" t="s">
        <v>54</v>
      </c>
    </row>
    <row r="13" customFormat="false" ht="15" hidden="false" customHeight="false" outlineLevel="0" collapsed="false">
      <c r="A13" s="10" t="s">
        <v>29</v>
      </c>
      <c r="B13" s="10" t="s">
        <v>64</v>
      </c>
      <c r="C13" s="10" t="s">
        <v>80</v>
      </c>
      <c r="D13" s="16" t="n">
        <v>32</v>
      </c>
      <c r="E13" s="16" t="n">
        <v>21.5</v>
      </c>
      <c r="F13" s="10" t="s">
        <v>50</v>
      </c>
      <c r="G13" s="10" t="s">
        <v>54</v>
      </c>
    </row>
    <row r="14" customFormat="false" ht="15" hidden="false" customHeight="false" outlineLevel="0" collapsed="false">
      <c r="A14" s="10" t="s">
        <v>65</v>
      </c>
      <c r="B14" s="10" t="s">
        <v>66</v>
      </c>
      <c r="C14" s="10" t="s">
        <v>80</v>
      </c>
      <c r="D14" s="16" t="n">
        <v>0.2188</v>
      </c>
      <c r="E14" s="16" t="n">
        <v>0.125</v>
      </c>
      <c r="F14" s="10" t="s">
        <v>50</v>
      </c>
      <c r="G14" s="10" t="s">
        <v>54</v>
      </c>
    </row>
    <row r="15" customFormat="false" ht="15" hidden="false" customHeight="false" outlineLevel="0" collapsed="false">
      <c r="A15" s="10" t="s">
        <v>65</v>
      </c>
      <c r="B15" s="10" t="s">
        <v>67</v>
      </c>
      <c r="C15" s="10" t="s">
        <v>80</v>
      </c>
      <c r="D15" s="16" t="n">
        <v>0.2812</v>
      </c>
      <c r="E15" s="16" t="n">
        <v>0.15</v>
      </c>
      <c r="F15" s="10" t="s">
        <v>50</v>
      </c>
      <c r="G15" s="10" t="s">
        <v>54</v>
      </c>
    </row>
    <row r="16" customFormat="false" ht="15" hidden="false" customHeight="false" outlineLevel="0" collapsed="false">
      <c r="A16" s="10" t="s">
        <v>65</v>
      </c>
      <c r="B16" s="10" t="s">
        <v>68</v>
      </c>
      <c r="C16" s="10" t="s">
        <v>80</v>
      </c>
      <c r="D16" s="16" t="n">
        <v>0.3125</v>
      </c>
      <c r="E16" s="16" t="n">
        <v>0.175</v>
      </c>
      <c r="F16" s="10" t="s">
        <v>50</v>
      </c>
      <c r="G16" s="10" t="s">
        <v>54</v>
      </c>
    </row>
    <row r="17" customFormat="false" ht="15" hidden="false" customHeight="false" outlineLevel="0" collapsed="false">
      <c r="A17" s="10" t="s">
        <v>65</v>
      </c>
      <c r="B17" s="10" t="s">
        <v>69</v>
      </c>
      <c r="C17" s="10" t="s">
        <v>80</v>
      </c>
      <c r="D17" s="16" t="n">
        <v>0.375</v>
      </c>
      <c r="E17" s="16" t="n">
        <v>0.2</v>
      </c>
      <c r="F17" s="10" t="s">
        <v>50</v>
      </c>
      <c r="G17" s="10" t="s">
        <v>54</v>
      </c>
    </row>
    <row r="18" customFormat="false" ht="15" hidden="false" customHeight="false" outlineLevel="0" collapsed="false">
      <c r="A18" s="10" t="s">
        <v>65</v>
      </c>
      <c r="B18" s="10" t="s">
        <v>70</v>
      </c>
      <c r="C18" s="10" t="s">
        <v>80</v>
      </c>
      <c r="D18" s="16" t="n">
        <v>0.4375</v>
      </c>
      <c r="E18" s="16" t="n">
        <v>0.26</v>
      </c>
      <c r="F18" s="10" t="s">
        <v>50</v>
      </c>
      <c r="G18" s="10" t="s">
        <v>54</v>
      </c>
    </row>
    <row r="19" customFormat="false" ht="15" hidden="false" customHeight="false" outlineLevel="0" collapsed="false">
      <c r="A19" s="10" t="s">
        <v>65</v>
      </c>
      <c r="B19" s="10" t="s">
        <v>71</v>
      </c>
      <c r="C19" s="10" t="s">
        <v>80</v>
      </c>
      <c r="D19" s="16" t="n">
        <v>0.5312</v>
      </c>
      <c r="E19" s="16" t="n">
        <v>0.322</v>
      </c>
      <c r="F19" s="10" t="s">
        <v>50</v>
      </c>
      <c r="G19" s="10" t="s">
        <v>54</v>
      </c>
    </row>
    <row r="20" customFormat="false" ht="15" hidden="false" customHeight="false" outlineLevel="0" collapsed="false">
      <c r="A20" s="10" t="s">
        <v>65</v>
      </c>
      <c r="B20" s="10" t="s">
        <v>72</v>
      </c>
      <c r="C20" s="10" t="s">
        <v>80</v>
      </c>
      <c r="D20" s="16" t="n">
        <v>0.625</v>
      </c>
      <c r="E20" s="16" t="n">
        <v>0.385</v>
      </c>
      <c r="F20" s="10" t="s">
        <v>50</v>
      </c>
      <c r="G20" s="10" t="s">
        <v>54</v>
      </c>
    </row>
    <row r="21" customFormat="false" ht="15" hidden="false" customHeight="false" outlineLevel="0" collapsed="false">
      <c r="A21" s="10" t="s">
        <v>65</v>
      </c>
      <c r="B21" s="10" t="s">
        <v>73</v>
      </c>
      <c r="C21" s="10" t="s">
        <v>80</v>
      </c>
      <c r="D21" s="16" t="n">
        <v>0.8125</v>
      </c>
      <c r="E21" s="16" t="n">
        <v>0.51</v>
      </c>
      <c r="F21" s="10" t="s">
        <v>50</v>
      </c>
      <c r="G21" s="10" t="s">
        <v>54</v>
      </c>
    </row>
  </sheetData>
  <autoFilter ref="A4:G21"/>
  <dataValidations count="3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F5:F304" type="list">
      <formula1>"Close,Normal,Loose"</formula1>
      <formula2>0</formula2>
    </dataValidation>
    <dataValidation allowBlank="false" errorStyle="stop" operator="between" showDropDown="false" showErrorMessage="false" showInputMessage="false" sqref="G5:G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7" t="s">
        <v>81</v>
      </c>
    </row>
    <row r="2" customFormat="false" ht="15" hidden="false" customHeight="false" outlineLevel="0" collapsed="false">
      <c r="A2" s="14" t="s">
        <v>82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76</v>
      </c>
      <c r="D4" s="15" t="s">
        <v>83</v>
      </c>
      <c r="E4" s="15" t="s">
        <v>84</v>
      </c>
      <c r="F4" s="15" t="s">
        <v>79</v>
      </c>
      <c r="G4" s="15" t="s">
        <v>52</v>
      </c>
    </row>
    <row r="5" customFormat="false" ht="15" hidden="false" customHeight="false" outlineLevel="0" collapsed="false">
      <c r="A5" s="10" t="s">
        <v>29</v>
      </c>
      <c r="B5" s="10" t="s">
        <v>56</v>
      </c>
      <c r="C5" s="10" t="s">
        <v>85</v>
      </c>
      <c r="D5" s="16" t="n">
        <v>6.9</v>
      </c>
      <c r="E5" s="10" t="n">
        <v>90</v>
      </c>
      <c r="F5" s="10" t="s">
        <v>50</v>
      </c>
      <c r="G5" s="10" t="s">
        <v>54</v>
      </c>
    </row>
    <row r="6" customFormat="false" ht="15" hidden="false" customHeight="false" outlineLevel="0" collapsed="false">
      <c r="A6" s="10" t="s">
        <v>29</v>
      </c>
      <c r="B6" s="10" t="s">
        <v>57</v>
      </c>
      <c r="C6" s="10" t="s">
        <v>85</v>
      </c>
      <c r="D6" s="16" t="n">
        <v>9.2</v>
      </c>
      <c r="E6" s="10" t="n">
        <v>90</v>
      </c>
      <c r="F6" s="10" t="s">
        <v>50</v>
      </c>
      <c r="G6" s="10" t="s">
        <v>54</v>
      </c>
    </row>
    <row r="7" customFormat="false" ht="15" hidden="false" customHeight="false" outlineLevel="0" collapsed="false">
      <c r="A7" s="10" t="s">
        <v>29</v>
      </c>
      <c r="B7" s="10" t="s">
        <v>58</v>
      </c>
      <c r="C7" s="10" t="s">
        <v>85</v>
      </c>
      <c r="D7" s="16" t="n">
        <v>11.5</v>
      </c>
      <c r="E7" s="10" t="n">
        <v>90</v>
      </c>
      <c r="F7" s="10" t="s">
        <v>50</v>
      </c>
      <c r="G7" s="10" t="s">
        <v>54</v>
      </c>
    </row>
    <row r="8" customFormat="false" ht="15" hidden="false" customHeight="false" outlineLevel="0" collapsed="false">
      <c r="A8" s="10" t="s">
        <v>29</v>
      </c>
      <c r="B8" s="10" t="s">
        <v>59</v>
      </c>
      <c r="C8" s="10" t="s">
        <v>85</v>
      </c>
      <c r="D8" s="16" t="n">
        <v>13.8</v>
      </c>
      <c r="E8" s="10" t="n">
        <v>90</v>
      </c>
      <c r="F8" s="10" t="s">
        <v>50</v>
      </c>
      <c r="G8" s="10" t="s">
        <v>54</v>
      </c>
    </row>
    <row r="9" customFormat="false" ht="15" hidden="false" customHeight="false" outlineLevel="0" collapsed="false">
      <c r="A9" s="10" t="s">
        <v>29</v>
      </c>
      <c r="B9" s="10" t="s">
        <v>60</v>
      </c>
      <c r="C9" s="10" t="s">
        <v>85</v>
      </c>
      <c r="D9" s="16" t="n">
        <v>18.3</v>
      </c>
      <c r="E9" s="10" t="n">
        <v>90</v>
      </c>
      <c r="F9" s="10" t="s">
        <v>50</v>
      </c>
      <c r="G9" s="10" t="s">
        <v>54</v>
      </c>
    </row>
    <row r="10" customFormat="false" ht="15" hidden="false" customHeight="false" outlineLevel="0" collapsed="false">
      <c r="A10" s="10" t="s">
        <v>29</v>
      </c>
      <c r="B10" s="10" t="s">
        <v>61</v>
      </c>
      <c r="C10" s="10" t="s">
        <v>85</v>
      </c>
      <c r="D10" s="16" t="n">
        <v>22.8</v>
      </c>
      <c r="E10" s="10" t="n">
        <v>90</v>
      </c>
      <c r="F10" s="10" t="s">
        <v>50</v>
      </c>
      <c r="G10" s="10" t="s">
        <v>54</v>
      </c>
    </row>
    <row r="11" customFormat="false" ht="15" hidden="false" customHeight="false" outlineLevel="0" collapsed="false">
      <c r="A11" s="10" t="s">
        <v>29</v>
      </c>
      <c r="B11" s="10" t="s">
        <v>62</v>
      </c>
      <c r="C11" s="10" t="s">
        <v>85</v>
      </c>
      <c r="D11" s="16" t="n">
        <v>27.3</v>
      </c>
      <c r="E11" s="10" t="n">
        <v>90</v>
      </c>
      <c r="F11" s="10" t="s">
        <v>50</v>
      </c>
      <c r="G11" s="10" t="s">
        <v>54</v>
      </c>
    </row>
    <row r="12" customFormat="false" ht="15" hidden="false" customHeight="false" outlineLevel="0" collapsed="false">
      <c r="A12" s="10" t="s">
        <v>29</v>
      </c>
      <c r="B12" s="10" t="s">
        <v>63</v>
      </c>
      <c r="C12" s="10" t="s">
        <v>85</v>
      </c>
      <c r="D12" s="16" t="n">
        <v>34</v>
      </c>
      <c r="E12" s="10" t="n">
        <v>90</v>
      </c>
      <c r="F12" s="10" t="s">
        <v>50</v>
      </c>
      <c r="G12" s="10" t="s">
        <v>54</v>
      </c>
    </row>
    <row r="13" customFormat="false" ht="15" hidden="false" customHeight="false" outlineLevel="0" collapsed="false">
      <c r="A13" s="10" t="s">
        <v>29</v>
      </c>
      <c r="B13" s="10" t="s">
        <v>64</v>
      </c>
      <c r="C13" s="10" t="s">
        <v>85</v>
      </c>
      <c r="D13" s="16" t="n">
        <v>40.8</v>
      </c>
      <c r="E13" s="10" t="n">
        <v>90</v>
      </c>
      <c r="F13" s="10" t="s">
        <v>50</v>
      </c>
      <c r="G13" s="10" t="s">
        <v>54</v>
      </c>
    </row>
    <row r="14" customFormat="false" ht="15" hidden="false" customHeight="false" outlineLevel="0" collapsed="false">
      <c r="A14" s="10" t="s">
        <v>65</v>
      </c>
      <c r="B14" s="10" t="s">
        <v>66</v>
      </c>
      <c r="C14" s="10" t="s">
        <v>85</v>
      </c>
      <c r="D14" s="16" t="n">
        <v>0.265</v>
      </c>
      <c r="E14" s="10" t="n">
        <v>82</v>
      </c>
      <c r="F14" s="10" t="s">
        <v>50</v>
      </c>
      <c r="G14" s="10" t="s">
        <v>54</v>
      </c>
    </row>
    <row r="15" customFormat="false" ht="15" hidden="false" customHeight="false" outlineLevel="0" collapsed="false">
      <c r="A15" s="10" t="s">
        <v>65</v>
      </c>
      <c r="B15" s="10" t="s">
        <v>67</v>
      </c>
      <c r="C15" s="10" t="s">
        <v>85</v>
      </c>
      <c r="D15" s="16" t="n">
        <v>0.317</v>
      </c>
      <c r="E15" s="10" t="n">
        <v>82</v>
      </c>
      <c r="F15" s="10" t="s">
        <v>50</v>
      </c>
      <c r="G15" s="10" t="s">
        <v>54</v>
      </c>
    </row>
    <row r="16" customFormat="false" ht="15" hidden="false" customHeight="false" outlineLevel="0" collapsed="false">
      <c r="A16" s="10" t="s">
        <v>65</v>
      </c>
      <c r="B16" s="10" t="s">
        <v>68</v>
      </c>
      <c r="C16" s="10" t="s">
        <v>85</v>
      </c>
      <c r="D16" s="16" t="n">
        <v>0.369</v>
      </c>
      <c r="E16" s="10" t="n">
        <v>82</v>
      </c>
      <c r="F16" s="10" t="s">
        <v>50</v>
      </c>
      <c r="G16" s="10" t="s">
        <v>54</v>
      </c>
    </row>
    <row r="17" customFormat="false" ht="15" hidden="false" customHeight="false" outlineLevel="0" collapsed="false">
      <c r="A17" s="10" t="s">
        <v>65</v>
      </c>
      <c r="B17" s="10" t="s">
        <v>69</v>
      </c>
      <c r="C17" s="10" t="s">
        <v>85</v>
      </c>
      <c r="D17" s="16" t="n">
        <v>0.421</v>
      </c>
      <c r="E17" s="10" t="n">
        <v>82</v>
      </c>
      <c r="F17" s="10" t="s">
        <v>50</v>
      </c>
      <c r="G17" s="10" t="s">
        <v>54</v>
      </c>
    </row>
    <row r="18" customFormat="false" ht="15" hidden="false" customHeight="false" outlineLevel="0" collapsed="false">
      <c r="A18" s="10" t="s">
        <v>65</v>
      </c>
      <c r="B18" s="10" t="s">
        <v>70</v>
      </c>
      <c r="C18" s="10" t="s">
        <v>85</v>
      </c>
      <c r="D18" s="16" t="n">
        <v>0.541</v>
      </c>
      <c r="E18" s="10" t="n">
        <v>82</v>
      </c>
      <c r="F18" s="10" t="s">
        <v>50</v>
      </c>
      <c r="G18" s="10" t="s">
        <v>54</v>
      </c>
    </row>
    <row r="19" customFormat="false" ht="15" hidden="false" customHeight="false" outlineLevel="0" collapsed="false">
      <c r="A19" s="10" t="s">
        <v>65</v>
      </c>
      <c r="B19" s="10" t="s">
        <v>71</v>
      </c>
      <c r="C19" s="10" t="s">
        <v>85</v>
      </c>
      <c r="D19" s="16" t="n">
        <v>0.666</v>
      </c>
      <c r="E19" s="10" t="n">
        <v>82</v>
      </c>
      <c r="F19" s="10" t="s">
        <v>50</v>
      </c>
      <c r="G19" s="10" t="s">
        <v>54</v>
      </c>
    </row>
    <row r="20" customFormat="false" ht="15" hidden="false" customHeight="false" outlineLevel="0" collapsed="false">
      <c r="A20" s="10" t="s">
        <v>65</v>
      </c>
      <c r="B20" s="10" t="s">
        <v>72</v>
      </c>
      <c r="C20" s="10" t="s">
        <v>85</v>
      </c>
      <c r="D20" s="16" t="n">
        <v>0.799</v>
      </c>
      <c r="E20" s="10" t="n">
        <v>82</v>
      </c>
      <c r="F20" s="10" t="s">
        <v>50</v>
      </c>
      <c r="G20" s="10" t="s">
        <v>54</v>
      </c>
    </row>
    <row r="21" customFormat="false" ht="15" hidden="false" customHeight="false" outlineLevel="0" collapsed="false">
      <c r="A21" s="10" t="s">
        <v>65</v>
      </c>
      <c r="B21" s="10" t="s">
        <v>73</v>
      </c>
      <c r="C21" s="10" t="s">
        <v>85</v>
      </c>
      <c r="D21" s="16" t="n">
        <v>1.055</v>
      </c>
      <c r="E21" s="10" t="n">
        <v>82</v>
      </c>
      <c r="F21" s="10" t="s">
        <v>50</v>
      </c>
      <c r="G21" s="10" t="s">
        <v>54</v>
      </c>
    </row>
  </sheetData>
  <autoFilter ref="A4:G21"/>
  <dataValidations count="3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F5:F304" type="list">
      <formula1>"Close,Normal,Loose"</formula1>
      <formula2>0</formula2>
    </dataValidation>
    <dataValidation allowBlank="false" errorStyle="stop" operator="between" showDropDown="false" showErrorMessage="false" showInputMessage="false" sqref="G5:G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7" t="s">
        <v>86</v>
      </c>
    </row>
    <row r="2" customFormat="false" ht="15" hidden="false" customHeight="false" outlineLevel="0" collapsed="false">
      <c r="A2" s="14" t="s">
        <v>87</v>
      </c>
    </row>
    <row r="4" customFormat="false" ht="31.5" hidden="false" customHeight="true" outlineLevel="0" collapsed="false">
      <c r="A4" s="15" t="s">
        <v>46</v>
      </c>
      <c r="B4" s="15" t="s">
        <v>88</v>
      </c>
      <c r="C4" s="15" t="s">
        <v>48</v>
      </c>
      <c r="D4" s="15" t="s">
        <v>89</v>
      </c>
      <c r="E4" s="15" t="s">
        <v>90</v>
      </c>
      <c r="F4" s="15" t="s">
        <v>91</v>
      </c>
      <c r="G4" s="15" t="s">
        <v>92</v>
      </c>
      <c r="H4" s="15" t="s">
        <v>93</v>
      </c>
      <c r="I4" s="15" t="s">
        <v>52</v>
      </c>
    </row>
    <row r="5" customFormat="false" ht="15" hidden="false" customHeight="false" outlineLevel="0" collapsed="false">
      <c r="A5" s="10" t="s">
        <v>29</v>
      </c>
      <c r="B5" s="10" t="s">
        <v>53</v>
      </c>
      <c r="C5" s="16" t="n">
        <v>2</v>
      </c>
      <c r="D5" s="10" t="s">
        <v>94</v>
      </c>
      <c r="E5" s="16" t="n">
        <v>1.6</v>
      </c>
      <c r="F5" s="10" t="s">
        <v>95</v>
      </c>
      <c r="G5" s="17" t="n">
        <f aca="false">ROUND(C5*Settings!$B$5,3)</f>
        <v>3</v>
      </c>
      <c r="H5" s="17" t="n">
        <f aca="false">ROUND(G5+C5*Settings!$B$6,3)</f>
        <v>4</v>
      </c>
      <c r="I5" s="10" t="s">
        <v>54</v>
      </c>
    </row>
    <row r="6" customFormat="false" ht="15" hidden="false" customHeight="false" outlineLevel="0" collapsed="false">
      <c r="A6" s="10" t="s">
        <v>29</v>
      </c>
      <c r="B6" s="10" t="s">
        <v>55</v>
      </c>
      <c r="C6" s="16" t="n">
        <v>2.5</v>
      </c>
      <c r="D6" s="10" t="s">
        <v>96</v>
      </c>
      <c r="E6" s="16" t="n">
        <v>2.05</v>
      </c>
      <c r="F6" s="10" t="s">
        <v>95</v>
      </c>
      <c r="G6" s="17" t="n">
        <f aca="false">ROUND(C6*Settings!$B$5,3)</f>
        <v>3.75</v>
      </c>
      <c r="H6" s="17" t="n">
        <f aca="false">ROUND(G6+C6*Settings!$B$6,3)</f>
        <v>5</v>
      </c>
      <c r="I6" s="10" t="s">
        <v>54</v>
      </c>
    </row>
    <row r="7" customFormat="false" ht="15" hidden="false" customHeight="false" outlineLevel="0" collapsed="false">
      <c r="A7" s="10" t="s">
        <v>29</v>
      </c>
      <c r="B7" s="10" t="s">
        <v>56</v>
      </c>
      <c r="C7" s="16" t="n">
        <v>3</v>
      </c>
      <c r="D7" s="10" t="s">
        <v>97</v>
      </c>
      <c r="E7" s="16" t="n">
        <v>2.5</v>
      </c>
      <c r="F7" s="10" t="s">
        <v>95</v>
      </c>
      <c r="G7" s="17" t="n">
        <f aca="false">ROUND(C7*Settings!$B$5,3)</f>
        <v>4.5</v>
      </c>
      <c r="H7" s="17" t="n">
        <f aca="false">ROUND(G7+C7*Settings!$B$6,3)</f>
        <v>6</v>
      </c>
      <c r="I7" s="10" t="s">
        <v>54</v>
      </c>
    </row>
    <row r="8" customFormat="false" ht="15" hidden="false" customHeight="false" outlineLevel="0" collapsed="false">
      <c r="A8" s="10" t="s">
        <v>29</v>
      </c>
      <c r="B8" s="10" t="s">
        <v>57</v>
      </c>
      <c r="C8" s="16" t="n">
        <v>4</v>
      </c>
      <c r="D8" s="10" t="s">
        <v>98</v>
      </c>
      <c r="E8" s="16" t="n">
        <v>3.3</v>
      </c>
      <c r="F8" s="10" t="s">
        <v>95</v>
      </c>
      <c r="G8" s="17" t="n">
        <f aca="false">ROUND(C8*Settings!$B$5,3)</f>
        <v>6</v>
      </c>
      <c r="H8" s="17" t="n">
        <f aca="false">ROUND(G8+C8*Settings!$B$6,3)</f>
        <v>8</v>
      </c>
      <c r="I8" s="10" t="s">
        <v>54</v>
      </c>
    </row>
    <row r="9" customFormat="false" ht="15" hidden="false" customHeight="false" outlineLevel="0" collapsed="false">
      <c r="A9" s="10" t="s">
        <v>29</v>
      </c>
      <c r="B9" s="10" t="s">
        <v>58</v>
      </c>
      <c r="C9" s="16" t="n">
        <v>5</v>
      </c>
      <c r="D9" s="10" t="s">
        <v>99</v>
      </c>
      <c r="E9" s="16" t="n">
        <v>4.2</v>
      </c>
      <c r="F9" s="10" t="s">
        <v>95</v>
      </c>
      <c r="G9" s="17" t="n">
        <f aca="false">ROUND(C9*Settings!$B$5,3)</f>
        <v>7.5</v>
      </c>
      <c r="H9" s="17" t="n">
        <f aca="false">ROUND(G9+C9*Settings!$B$6,3)</f>
        <v>10</v>
      </c>
      <c r="I9" s="10" t="s">
        <v>54</v>
      </c>
    </row>
    <row r="10" customFormat="false" ht="15" hidden="false" customHeight="false" outlineLevel="0" collapsed="false">
      <c r="A10" s="10" t="s">
        <v>29</v>
      </c>
      <c r="B10" s="10" t="s">
        <v>59</v>
      </c>
      <c r="C10" s="16" t="n">
        <v>6</v>
      </c>
      <c r="D10" s="10" t="s">
        <v>100</v>
      </c>
      <c r="E10" s="16" t="n">
        <v>5</v>
      </c>
      <c r="F10" s="10" t="s">
        <v>95</v>
      </c>
      <c r="G10" s="17" t="n">
        <f aca="false">ROUND(C10*Settings!$B$5,3)</f>
        <v>9</v>
      </c>
      <c r="H10" s="17" t="n">
        <f aca="false">ROUND(G10+C10*Settings!$B$6,3)</f>
        <v>12</v>
      </c>
      <c r="I10" s="10" t="s">
        <v>54</v>
      </c>
    </row>
    <row r="11" customFormat="false" ht="15" hidden="false" customHeight="false" outlineLevel="0" collapsed="false">
      <c r="A11" s="10" t="s">
        <v>29</v>
      </c>
      <c r="B11" s="10" t="s">
        <v>60</v>
      </c>
      <c r="C11" s="16" t="n">
        <v>8</v>
      </c>
      <c r="D11" s="10" t="s">
        <v>101</v>
      </c>
      <c r="E11" s="16" t="n">
        <v>6.8</v>
      </c>
      <c r="F11" s="10" t="s">
        <v>95</v>
      </c>
      <c r="G11" s="17" t="n">
        <f aca="false">ROUND(C11*Settings!$B$5,3)</f>
        <v>12</v>
      </c>
      <c r="H11" s="17" t="n">
        <f aca="false">ROUND(G11+C11*Settings!$B$6,3)</f>
        <v>16</v>
      </c>
      <c r="I11" s="10" t="s">
        <v>54</v>
      </c>
    </row>
    <row r="12" customFormat="false" ht="15" hidden="false" customHeight="false" outlineLevel="0" collapsed="false">
      <c r="A12" s="10" t="s">
        <v>29</v>
      </c>
      <c r="B12" s="10" t="s">
        <v>61</v>
      </c>
      <c r="C12" s="16" t="n">
        <v>10</v>
      </c>
      <c r="D12" s="10" t="s">
        <v>102</v>
      </c>
      <c r="E12" s="16" t="n">
        <v>8.5</v>
      </c>
      <c r="F12" s="10" t="s">
        <v>95</v>
      </c>
      <c r="G12" s="17" t="n">
        <f aca="false">ROUND(C12*Settings!$B$5,3)</f>
        <v>15</v>
      </c>
      <c r="H12" s="17" t="n">
        <f aca="false">ROUND(G12+C12*Settings!$B$6,3)</f>
        <v>20</v>
      </c>
      <c r="I12" s="10" t="s">
        <v>54</v>
      </c>
    </row>
    <row r="13" customFormat="false" ht="15" hidden="false" customHeight="false" outlineLevel="0" collapsed="false">
      <c r="A13" s="10" t="s">
        <v>29</v>
      </c>
      <c r="B13" s="10" t="s">
        <v>62</v>
      </c>
      <c r="C13" s="16" t="n">
        <v>12</v>
      </c>
      <c r="D13" s="10" t="s">
        <v>103</v>
      </c>
      <c r="E13" s="16" t="n">
        <v>10.2</v>
      </c>
      <c r="F13" s="10" t="s">
        <v>95</v>
      </c>
      <c r="G13" s="17" t="n">
        <f aca="false">ROUND(C13*Settings!$B$5,3)</f>
        <v>18</v>
      </c>
      <c r="H13" s="17" t="n">
        <f aca="false">ROUND(G13+C13*Settings!$B$6,3)</f>
        <v>24</v>
      </c>
      <c r="I13" s="10" t="s">
        <v>54</v>
      </c>
    </row>
    <row r="14" customFormat="false" ht="15" hidden="false" customHeight="false" outlineLevel="0" collapsed="false">
      <c r="A14" s="10" t="s">
        <v>29</v>
      </c>
      <c r="B14" s="10" t="s">
        <v>63</v>
      </c>
      <c r="C14" s="16" t="n">
        <v>16</v>
      </c>
      <c r="D14" s="10" t="s">
        <v>104</v>
      </c>
      <c r="E14" s="16" t="n">
        <v>14</v>
      </c>
      <c r="F14" s="10" t="s">
        <v>95</v>
      </c>
      <c r="G14" s="17" t="n">
        <f aca="false">ROUND(C14*Settings!$B$5,3)</f>
        <v>24</v>
      </c>
      <c r="H14" s="17" t="n">
        <f aca="false">ROUND(G14+C14*Settings!$B$6,3)</f>
        <v>32</v>
      </c>
      <c r="I14" s="10" t="s">
        <v>54</v>
      </c>
    </row>
    <row r="15" customFormat="false" ht="15" hidden="false" customHeight="false" outlineLevel="0" collapsed="false">
      <c r="A15" s="10" t="s">
        <v>29</v>
      </c>
      <c r="B15" s="10" t="s">
        <v>64</v>
      </c>
      <c r="C15" s="16" t="n">
        <v>20</v>
      </c>
      <c r="D15" s="10" t="s">
        <v>105</v>
      </c>
      <c r="E15" s="16" t="n">
        <v>17.5</v>
      </c>
      <c r="F15" s="10" t="s">
        <v>95</v>
      </c>
      <c r="G15" s="17" t="n">
        <f aca="false">ROUND(C15*Settings!$B$5,3)</f>
        <v>30</v>
      </c>
      <c r="H15" s="17" t="n">
        <f aca="false">ROUND(G15+C15*Settings!$B$6,3)</f>
        <v>40</v>
      </c>
      <c r="I15" s="10" t="s">
        <v>54</v>
      </c>
    </row>
    <row r="16" customFormat="false" ht="15" hidden="false" customHeight="false" outlineLevel="0" collapsed="false">
      <c r="A16" s="10" t="s">
        <v>65</v>
      </c>
      <c r="B16" s="10" t="s">
        <v>106</v>
      </c>
      <c r="C16" s="16" t="n">
        <v>0.112</v>
      </c>
      <c r="D16" s="10" t="s">
        <v>107</v>
      </c>
      <c r="E16" s="16" t="n">
        <v>0.089</v>
      </c>
      <c r="F16" s="10" t="s">
        <v>108</v>
      </c>
      <c r="G16" s="17" t="n">
        <f aca="false">ROUND(C16*Settings!$B$5,3)</f>
        <v>0.168</v>
      </c>
      <c r="H16" s="17" t="n">
        <f aca="false">ROUND(G16+C16*Settings!$B$6,3)</f>
        <v>0.224</v>
      </c>
      <c r="I16" s="10" t="s">
        <v>54</v>
      </c>
    </row>
    <row r="17" customFormat="false" ht="15" hidden="false" customHeight="false" outlineLevel="0" collapsed="false">
      <c r="A17" s="10" t="s">
        <v>65</v>
      </c>
      <c r="B17" s="10" t="s">
        <v>109</v>
      </c>
      <c r="C17" s="16" t="n">
        <v>0.138</v>
      </c>
      <c r="D17" s="10" t="s">
        <v>110</v>
      </c>
      <c r="E17" s="16" t="n">
        <v>0.1065</v>
      </c>
      <c r="F17" s="10" t="s">
        <v>108</v>
      </c>
      <c r="G17" s="17" t="n">
        <f aca="false">ROUND(C17*Settings!$B$5,3)</f>
        <v>0.207</v>
      </c>
      <c r="H17" s="17" t="n">
        <f aca="false">ROUND(G17+C17*Settings!$B$6,3)</f>
        <v>0.276</v>
      </c>
      <c r="I17" s="10" t="s">
        <v>54</v>
      </c>
    </row>
    <row r="18" customFormat="false" ht="15" hidden="false" customHeight="false" outlineLevel="0" collapsed="false">
      <c r="A18" s="10" t="s">
        <v>65</v>
      </c>
      <c r="B18" s="10" t="s">
        <v>111</v>
      </c>
      <c r="C18" s="16" t="n">
        <v>0.164</v>
      </c>
      <c r="D18" s="10" t="s">
        <v>110</v>
      </c>
      <c r="E18" s="16" t="n">
        <v>0.136</v>
      </c>
      <c r="F18" s="10" t="s">
        <v>108</v>
      </c>
      <c r="G18" s="17" t="n">
        <f aca="false">ROUND(C18*Settings!$B$5,3)</f>
        <v>0.246</v>
      </c>
      <c r="H18" s="17" t="n">
        <f aca="false">ROUND(G18+C18*Settings!$B$6,3)</f>
        <v>0.328</v>
      </c>
      <c r="I18" s="10" t="s">
        <v>54</v>
      </c>
    </row>
    <row r="19" customFormat="false" ht="15" hidden="false" customHeight="false" outlineLevel="0" collapsed="false">
      <c r="A19" s="10" t="s">
        <v>65</v>
      </c>
      <c r="B19" s="10" t="s">
        <v>112</v>
      </c>
      <c r="C19" s="16" t="n">
        <v>0.19</v>
      </c>
      <c r="D19" s="10" t="s">
        <v>113</v>
      </c>
      <c r="E19" s="16" t="n">
        <v>0.1495</v>
      </c>
      <c r="F19" s="10" t="s">
        <v>108</v>
      </c>
      <c r="G19" s="17" t="n">
        <f aca="false">ROUND(C19*Settings!$B$5,3)</f>
        <v>0.285</v>
      </c>
      <c r="H19" s="17" t="n">
        <f aca="false">ROUND(G19+C19*Settings!$B$6,3)</f>
        <v>0.38</v>
      </c>
      <c r="I19" s="10" t="s">
        <v>54</v>
      </c>
    </row>
    <row r="20" customFormat="false" ht="15" hidden="false" customHeight="false" outlineLevel="0" collapsed="false">
      <c r="A20" s="10" t="s">
        <v>65</v>
      </c>
      <c r="B20" s="10" t="s">
        <v>114</v>
      </c>
      <c r="C20" s="16" t="n">
        <v>0.19</v>
      </c>
      <c r="D20" s="10" t="s">
        <v>110</v>
      </c>
      <c r="E20" s="16" t="n">
        <v>0.159</v>
      </c>
      <c r="F20" s="10" t="s">
        <v>108</v>
      </c>
      <c r="G20" s="17" t="n">
        <f aca="false">ROUND(C20*Settings!$B$5,3)</f>
        <v>0.285</v>
      </c>
      <c r="H20" s="17" t="n">
        <f aca="false">ROUND(G20+C20*Settings!$B$6,3)</f>
        <v>0.38</v>
      </c>
      <c r="I20" s="10" t="s">
        <v>54</v>
      </c>
    </row>
    <row r="21" customFormat="false" ht="15" hidden="false" customHeight="false" outlineLevel="0" collapsed="false">
      <c r="A21" s="10" t="s">
        <v>65</v>
      </c>
      <c r="B21" s="10" t="s">
        <v>115</v>
      </c>
      <c r="C21" s="16" t="n">
        <v>0.25</v>
      </c>
      <c r="D21" s="10" t="s">
        <v>116</v>
      </c>
      <c r="E21" s="16" t="n">
        <v>0.201</v>
      </c>
      <c r="F21" s="10" t="s">
        <v>108</v>
      </c>
      <c r="G21" s="17" t="n">
        <f aca="false">ROUND(C21*Settings!$B$5,3)</f>
        <v>0.375</v>
      </c>
      <c r="H21" s="17" t="n">
        <f aca="false">ROUND(G21+C21*Settings!$B$6,3)</f>
        <v>0.5</v>
      </c>
      <c r="I21" s="10" t="s">
        <v>54</v>
      </c>
    </row>
    <row r="22" customFormat="false" ht="15" hidden="false" customHeight="false" outlineLevel="0" collapsed="false">
      <c r="A22" s="10" t="s">
        <v>65</v>
      </c>
      <c r="B22" s="10" t="s">
        <v>117</v>
      </c>
      <c r="C22" s="16" t="n">
        <v>0.3125</v>
      </c>
      <c r="D22" s="10" t="s">
        <v>118</v>
      </c>
      <c r="E22" s="16" t="n">
        <v>0.257</v>
      </c>
      <c r="F22" s="10" t="s">
        <v>108</v>
      </c>
      <c r="G22" s="17" t="n">
        <f aca="false">ROUND(C22*Settings!$B$5,3)</f>
        <v>0.469</v>
      </c>
      <c r="H22" s="17" t="n">
        <f aca="false">ROUND(G22+C22*Settings!$B$6,3)</f>
        <v>0.625</v>
      </c>
      <c r="I22" s="10" t="s">
        <v>54</v>
      </c>
    </row>
    <row r="23" customFormat="false" ht="15" hidden="false" customHeight="false" outlineLevel="0" collapsed="false">
      <c r="A23" s="10" t="s">
        <v>65</v>
      </c>
      <c r="B23" s="10" t="s">
        <v>119</v>
      </c>
      <c r="C23" s="16" t="n">
        <v>0.375</v>
      </c>
      <c r="D23" s="10" t="s">
        <v>120</v>
      </c>
      <c r="E23" s="16" t="n">
        <v>0.3125</v>
      </c>
      <c r="F23" s="10" t="s">
        <v>108</v>
      </c>
      <c r="G23" s="17" t="n">
        <f aca="false">ROUND(C23*Settings!$B$5,3)</f>
        <v>0.563</v>
      </c>
      <c r="H23" s="17" t="n">
        <f aca="false">ROUND(G23+C23*Settings!$B$6,3)</f>
        <v>0.751</v>
      </c>
      <c r="I23" s="10" t="s">
        <v>54</v>
      </c>
    </row>
    <row r="24" customFormat="false" ht="15" hidden="false" customHeight="false" outlineLevel="0" collapsed="false">
      <c r="A24" s="10" t="s">
        <v>65</v>
      </c>
      <c r="B24" s="10" t="s">
        <v>121</v>
      </c>
      <c r="C24" s="16" t="n">
        <v>0.5</v>
      </c>
      <c r="D24" s="10" t="s">
        <v>122</v>
      </c>
      <c r="E24" s="16" t="n">
        <v>0.4219</v>
      </c>
      <c r="F24" s="10" t="s">
        <v>108</v>
      </c>
      <c r="G24" s="17" t="n">
        <f aca="false">ROUND(C24*Settings!$B$5,3)</f>
        <v>0.75</v>
      </c>
      <c r="H24" s="17" t="n">
        <f aca="false">ROUND(G24+C24*Settings!$B$6,3)</f>
        <v>1</v>
      </c>
      <c r="I24" s="10" t="s">
        <v>54</v>
      </c>
    </row>
    <row r="25" customFormat="false" ht="15" hidden="false" customHeight="false" outlineLevel="0" collapsed="false">
      <c r="A25" s="10" t="s">
        <v>65</v>
      </c>
      <c r="B25" s="10" t="s">
        <v>123</v>
      </c>
      <c r="C25" s="16" t="n">
        <v>0.625</v>
      </c>
      <c r="D25" s="10" t="s">
        <v>124</v>
      </c>
      <c r="E25" s="16" t="n">
        <v>0.5312</v>
      </c>
      <c r="F25" s="10" t="s">
        <v>108</v>
      </c>
      <c r="G25" s="17" t="n">
        <f aca="false">ROUND(C25*Settings!$B$5,3)</f>
        <v>0.938</v>
      </c>
      <c r="H25" s="17" t="n">
        <f aca="false">ROUND(G25+C25*Settings!$B$6,3)</f>
        <v>1.251</v>
      </c>
      <c r="I25" s="10" t="s">
        <v>54</v>
      </c>
    </row>
    <row r="26" customFormat="false" ht="15" hidden="false" customHeight="false" outlineLevel="0" collapsed="false">
      <c r="A26" s="10" t="s">
        <v>65</v>
      </c>
      <c r="B26" s="10" t="s">
        <v>125</v>
      </c>
      <c r="C26" s="16" t="n">
        <v>0.75</v>
      </c>
      <c r="D26" s="10" t="s">
        <v>126</v>
      </c>
      <c r="E26" s="16" t="n">
        <v>0.6562</v>
      </c>
      <c r="F26" s="10" t="s">
        <v>108</v>
      </c>
      <c r="G26" s="17" t="n">
        <f aca="false">ROUND(C26*Settings!$B$5,3)</f>
        <v>1.125</v>
      </c>
      <c r="H26" s="17" t="n">
        <f aca="false">ROUND(G26+C26*Settings!$B$6,3)</f>
        <v>1.5</v>
      </c>
      <c r="I26" s="10" t="s">
        <v>54</v>
      </c>
    </row>
  </sheetData>
  <autoFilter ref="A4:I26"/>
  <dataValidations count="2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I5:I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7" t="s">
        <v>127</v>
      </c>
    </row>
    <row r="2" customFormat="false" ht="15" hidden="false" customHeight="false" outlineLevel="0" collapsed="false">
      <c r="A2" s="14" t="s">
        <v>128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48</v>
      </c>
      <c r="D4" s="15" t="s">
        <v>52</v>
      </c>
      <c r="E4" s="15" t="s">
        <v>77</v>
      </c>
      <c r="F4" s="15" t="s">
        <v>78</v>
      </c>
      <c r="G4" s="15" t="s">
        <v>83</v>
      </c>
      <c r="H4" s="15" t="s">
        <v>187</v>
      </c>
    </row>
    <row r="5" customFormat="false" ht="15" hidden="false" customHeight="false" outlineLevel="0" collapsed="false">
      <c r="A5" s="10" t="s">
        <v>29</v>
      </c>
      <c r="B5" s="10" t="s">
        <v>129</v>
      </c>
      <c r="C5" s="16" t="n">
        <v>2</v>
      </c>
      <c r="D5" s="10" t="s">
        <v>54</v>
      </c>
      <c r="E5" s="16" t="n">
        <v>3</v>
      </c>
      <c r="F5" s="16" t="n">
        <v>1</v>
      </c>
      <c r="G5" s="16" t="n">
        <v>3</v>
      </c>
      <c r="H5" s="16" t="n">
        <v>90</v>
      </c>
    </row>
    <row r="6" customFormat="false" ht="15" hidden="false" customHeight="false" outlineLevel="0" collapsed="false">
      <c r="A6" s="10" t="s">
        <v>29</v>
      </c>
      <c r="B6" s="10" t="s">
        <v>130</v>
      </c>
      <c r="C6" s="16" t="n">
        <v>2.5</v>
      </c>
      <c r="D6" s="10" t="s">
        <v>54</v>
      </c>
      <c r="E6" s="16" t="n">
        <v>3.5</v>
      </c>
      <c r="F6" s="16" t="n">
        <v>1.25</v>
      </c>
      <c r="G6" s="16" t="n">
        <v>3.5</v>
      </c>
      <c r="H6" s="16" t="n">
        <v>90</v>
      </c>
    </row>
    <row r="7" customFormat="false" ht="15" hidden="false" customHeight="false" outlineLevel="0" collapsed="false">
      <c r="A7" s="10" t="s">
        <v>29</v>
      </c>
      <c r="B7" s="10" t="s">
        <v>131</v>
      </c>
      <c r="C7" s="16" t="n">
        <v>3</v>
      </c>
      <c r="D7" s="10" t="s">
        <v>54</v>
      </c>
      <c r="E7" s="16" t="n">
        <v>4</v>
      </c>
      <c r="F7" s="16" t="n">
        <v>1.5</v>
      </c>
      <c r="G7" s="16" t="n">
        <v>4</v>
      </c>
      <c r="H7" s="16" t="n">
        <v>90</v>
      </c>
    </row>
    <row r="8" customFormat="false" ht="15" hidden="false" customHeight="false" outlineLevel="0" collapsed="false">
      <c r="A8" s="10" t="s">
        <v>29</v>
      </c>
      <c r="B8" s="10" t="s">
        <v>132</v>
      </c>
      <c r="C8" s="16" t="n">
        <v>4</v>
      </c>
      <c r="D8" s="10" t="s">
        <v>54</v>
      </c>
      <c r="E8" s="16" t="n">
        <v>5</v>
      </c>
      <c r="F8" s="16" t="n">
        <v>2</v>
      </c>
      <c r="G8" s="16" t="n">
        <v>5</v>
      </c>
      <c r="H8" s="16" t="n">
        <v>90</v>
      </c>
    </row>
    <row r="9" customFormat="false" ht="15" hidden="false" customHeight="false" outlineLevel="0" collapsed="false">
      <c r="A9" s="10" t="s">
        <v>29</v>
      </c>
      <c r="B9" s="10" t="s">
        <v>133</v>
      </c>
      <c r="C9" s="16" t="n">
        <v>5</v>
      </c>
      <c r="D9" s="10" t="s">
        <v>54</v>
      </c>
      <c r="E9" s="16" t="n">
        <v>6</v>
      </c>
      <c r="F9" s="16" t="n">
        <v>2.5</v>
      </c>
      <c r="G9" s="16" t="n">
        <v>6</v>
      </c>
      <c r="H9" s="16" t="n">
        <v>90</v>
      </c>
    </row>
    <row r="10" customFormat="false" ht="15" hidden="false" customHeight="false" outlineLevel="0" collapsed="false">
      <c r="A10" s="10" t="s">
        <v>29</v>
      </c>
      <c r="B10" s="10" t="s">
        <v>134</v>
      </c>
      <c r="C10" s="16" t="n">
        <v>6</v>
      </c>
      <c r="D10" s="10" t="s">
        <v>54</v>
      </c>
      <c r="E10" s="16" t="n">
        <v>7</v>
      </c>
      <c r="F10" s="16" t="n">
        <v>3</v>
      </c>
      <c r="G10" s="16" t="n">
        <v>7</v>
      </c>
      <c r="H10" s="16" t="n">
        <v>90</v>
      </c>
    </row>
    <row r="11" customFormat="false" ht="15" hidden="false" customHeight="false" outlineLevel="0" collapsed="false">
      <c r="A11" s="10" t="s">
        <v>29</v>
      </c>
      <c r="B11" s="10" t="s">
        <v>135</v>
      </c>
      <c r="C11" s="16" t="n">
        <v>8</v>
      </c>
      <c r="D11" s="10" t="s">
        <v>54</v>
      </c>
      <c r="E11" s="16" t="n">
        <v>9</v>
      </c>
      <c r="F11" s="16" t="n">
        <v>4</v>
      </c>
      <c r="G11" s="16" t="n">
        <v>9</v>
      </c>
      <c r="H11" s="16" t="n">
        <v>90</v>
      </c>
    </row>
    <row r="12" customFormat="false" ht="15" hidden="false" customHeight="false" outlineLevel="0" collapsed="false">
      <c r="A12" s="10" t="s">
        <v>29</v>
      </c>
      <c r="B12" s="10" t="s">
        <v>136</v>
      </c>
      <c r="C12" s="16" t="n">
        <v>10</v>
      </c>
      <c r="D12" s="10" t="s">
        <v>54</v>
      </c>
      <c r="E12" s="16" t="n">
        <v>11</v>
      </c>
      <c r="F12" s="16" t="n">
        <v>5</v>
      </c>
      <c r="G12" s="16" t="n">
        <v>11</v>
      </c>
      <c r="H12" s="16" t="n">
        <v>90</v>
      </c>
    </row>
    <row r="13" customFormat="false" ht="15" hidden="false" customHeight="false" outlineLevel="0" collapsed="false">
      <c r="A13" s="10" t="s">
        <v>29</v>
      </c>
      <c r="B13" s="10" t="s">
        <v>137</v>
      </c>
      <c r="C13" s="16" t="n">
        <v>12</v>
      </c>
      <c r="D13" s="10" t="s">
        <v>54</v>
      </c>
      <c r="E13" s="16" t="n">
        <v>13</v>
      </c>
      <c r="F13" s="16" t="n">
        <v>6</v>
      </c>
      <c r="G13" s="16" t="n">
        <v>13</v>
      </c>
      <c r="H13" s="16" t="n">
        <v>90</v>
      </c>
    </row>
    <row r="14" customFormat="false" ht="15" hidden="false" customHeight="false" outlineLevel="0" collapsed="false">
      <c r="A14" s="10" t="s">
        <v>29</v>
      </c>
      <c r="B14" s="10" t="s">
        <v>138</v>
      </c>
      <c r="C14" s="16" t="n">
        <v>16</v>
      </c>
      <c r="D14" s="10" t="s">
        <v>54</v>
      </c>
      <c r="E14" s="16" t="n">
        <v>17</v>
      </c>
      <c r="F14" s="16" t="n">
        <v>8</v>
      </c>
      <c r="G14" s="16" t="n">
        <v>17</v>
      </c>
      <c r="H14" s="16" t="n">
        <v>90</v>
      </c>
    </row>
    <row r="15" customFormat="false" ht="15" hidden="false" customHeight="false" outlineLevel="0" collapsed="false">
      <c r="A15" s="10" t="s">
        <v>65</v>
      </c>
      <c r="B15" s="10" t="s">
        <v>139</v>
      </c>
      <c r="C15" s="16" t="n">
        <v>0.125</v>
      </c>
      <c r="D15" s="10" t="s">
        <v>54</v>
      </c>
      <c r="E15" s="16" t="n">
        <v>0.165</v>
      </c>
      <c r="F15" s="16" t="n">
        <v>0.0625</v>
      </c>
      <c r="G15" s="16" t="n">
        <v>0.165</v>
      </c>
      <c r="H15" s="16" t="n">
        <v>90</v>
      </c>
    </row>
    <row r="16" customFormat="false" ht="15" hidden="false" customHeight="false" outlineLevel="0" collapsed="false">
      <c r="A16" s="10" t="s">
        <v>65</v>
      </c>
      <c r="B16" s="10" t="s">
        <v>140</v>
      </c>
      <c r="C16" s="16" t="n">
        <v>0.1875</v>
      </c>
      <c r="D16" s="10" t="s">
        <v>54</v>
      </c>
      <c r="E16" s="16" t="n">
        <v>0.2275</v>
      </c>
      <c r="F16" s="16" t="n">
        <v>0.09375</v>
      </c>
      <c r="G16" s="16" t="n">
        <v>0.2275</v>
      </c>
      <c r="H16" s="16" t="n">
        <v>90</v>
      </c>
    </row>
    <row r="17" customFormat="false" ht="15" hidden="false" customHeight="false" outlineLevel="0" collapsed="false">
      <c r="A17" s="10" t="s">
        <v>65</v>
      </c>
      <c r="B17" s="10" t="s">
        <v>141</v>
      </c>
      <c r="C17" s="16" t="n">
        <v>0.25</v>
      </c>
      <c r="D17" s="10" t="s">
        <v>54</v>
      </c>
      <c r="E17" s="16" t="n">
        <v>0.29</v>
      </c>
      <c r="F17" s="16" t="n">
        <v>0.125</v>
      </c>
      <c r="G17" s="16" t="n">
        <v>0.29</v>
      </c>
      <c r="H17" s="16" t="n">
        <v>90</v>
      </c>
    </row>
    <row r="18" customFormat="false" ht="15" hidden="false" customHeight="false" outlineLevel="0" collapsed="false">
      <c r="A18" s="10" t="s">
        <v>65</v>
      </c>
      <c r="B18" s="10" t="s">
        <v>142</v>
      </c>
      <c r="C18" s="16" t="n">
        <v>0.3125</v>
      </c>
      <c r="D18" s="10" t="s">
        <v>54</v>
      </c>
      <c r="E18" s="16" t="n">
        <v>0.3525</v>
      </c>
      <c r="F18" s="16" t="n">
        <v>0.15625</v>
      </c>
      <c r="G18" s="16" t="n">
        <v>0.3525</v>
      </c>
      <c r="H18" s="16" t="n">
        <v>90</v>
      </c>
    </row>
    <row r="19" customFormat="false" ht="15" hidden="false" customHeight="false" outlineLevel="0" collapsed="false">
      <c r="A19" s="10" t="s">
        <v>65</v>
      </c>
      <c r="B19" s="10" t="s">
        <v>143</v>
      </c>
      <c r="C19" s="16" t="n">
        <v>0.375</v>
      </c>
      <c r="D19" s="10" t="s">
        <v>54</v>
      </c>
      <c r="E19" s="16" t="n">
        <v>0.415</v>
      </c>
      <c r="F19" s="16" t="n">
        <v>0.1875</v>
      </c>
      <c r="G19" s="16" t="n">
        <v>0.415</v>
      </c>
      <c r="H19" s="16" t="n">
        <v>90</v>
      </c>
    </row>
    <row r="20" customFormat="false" ht="15" hidden="false" customHeight="false" outlineLevel="0" collapsed="false">
      <c r="A20" s="10" t="s">
        <v>65</v>
      </c>
      <c r="B20" s="10" t="s">
        <v>144</v>
      </c>
      <c r="C20" s="16" t="n">
        <v>0.5</v>
      </c>
      <c r="D20" s="10" t="s">
        <v>54</v>
      </c>
      <c r="E20" s="16" t="n">
        <v>0.54</v>
      </c>
      <c r="F20" s="16" t="n">
        <v>0.25</v>
      </c>
      <c r="G20" s="16" t="n">
        <v>0.54</v>
      </c>
      <c r="H20" s="16" t="n">
        <v>90</v>
      </c>
    </row>
  </sheetData>
  <autoFilter ref="A4:D20"/>
  <dataValidations count="2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D5:D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7" min="5" style="0" width="10"/>
    <col collapsed="false" customWidth="true" hidden="false" outlineLevel="0" max="8" min="8" style="0" width="9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7" t="s">
        <v>145</v>
      </c>
    </row>
    <row r="2" customFormat="false" ht="15" hidden="false" customHeight="false" outlineLevel="0" collapsed="false">
      <c r="A2" s="14" t="s">
        <v>146</v>
      </c>
    </row>
    <row r="4" customFormat="false" ht="31.5" hidden="false" customHeight="true" outlineLevel="0" collapsed="false">
      <c r="A4" s="15" t="s">
        <v>46</v>
      </c>
      <c r="B4" s="15" t="s">
        <v>147</v>
      </c>
      <c r="C4" s="15" t="s">
        <v>148</v>
      </c>
      <c r="D4" s="15" t="s">
        <v>149</v>
      </c>
      <c r="E4" s="15" t="s">
        <v>150</v>
      </c>
      <c r="F4" s="15" t="s">
        <v>151</v>
      </c>
      <c r="G4" s="15" t="s">
        <v>152</v>
      </c>
      <c r="H4" s="15" t="s">
        <v>153</v>
      </c>
      <c r="I4" s="15" t="s">
        <v>154</v>
      </c>
    </row>
    <row r="5" customFormat="false" ht="15" hidden="false" customHeight="false" outlineLevel="0" collapsed="false">
      <c r="A5" s="10" t="s">
        <v>29</v>
      </c>
      <c r="B5" s="10" t="s">
        <v>155</v>
      </c>
      <c r="C5" s="10" t="s">
        <v>156</v>
      </c>
      <c r="D5" s="10" t="s">
        <v>157</v>
      </c>
      <c r="E5" s="10" t="s">
        <v>158</v>
      </c>
      <c r="F5" s="18"/>
      <c r="G5" s="18"/>
      <c r="H5" s="10" t="s">
        <v>54</v>
      </c>
      <c r="I5" s="10" t="s">
        <v>159</v>
      </c>
    </row>
    <row r="6" customFormat="false" ht="15" hidden="false" customHeight="false" outlineLevel="0" collapsed="false">
      <c r="A6" s="10" t="s">
        <v>29</v>
      </c>
      <c r="B6" s="10" t="s">
        <v>155</v>
      </c>
      <c r="C6" s="10" t="s">
        <v>160</v>
      </c>
      <c r="D6" s="10" t="s">
        <v>157</v>
      </c>
      <c r="E6" s="10" t="s">
        <v>161</v>
      </c>
      <c r="F6" s="18"/>
      <c r="G6" s="18"/>
      <c r="H6" s="10" t="s">
        <v>162</v>
      </c>
      <c r="I6" s="10" t="s">
        <v>163</v>
      </c>
    </row>
    <row r="7" customFormat="false" ht="15" hidden="false" customHeight="false" outlineLevel="0" collapsed="false">
      <c r="A7" s="10" t="s">
        <v>29</v>
      </c>
      <c r="B7" s="10" t="s">
        <v>50</v>
      </c>
      <c r="C7" s="10" t="s">
        <v>164</v>
      </c>
      <c r="D7" s="10" t="s">
        <v>157</v>
      </c>
      <c r="E7" s="10" t="s">
        <v>165</v>
      </c>
      <c r="F7" s="18"/>
      <c r="G7" s="18"/>
      <c r="H7" s="10" t="s">
        <v>54</v>
      </c>
      <c r="I7" s="10" t="s">
        <v>166</v>
      </c>
    </row>
    <row r="8" customFormat="false" ht="15" hidden="false" customHeight="false" outlineLevel="0" collapsed="false">
      <c r="A8" s="10" t="s">
        <v>29</v>
      </c>
      <c r="B8" s="10" t="s">
        <v>167</v>
      </c>
      <c r="C8" s="10" t="s">
        <v>168</v>
      </c>
      <c r="D8" s="10" t="s">
        <v>157</v>
      </c>
      <c r="E8" s="10" t="s">
        <v>169</v>
      </c>
      <c r="F8" s="18"/>
      <c r="G8" s="18"/>
      <c r="H8" s="10" t="s">
        <v>54</v>
      </c>
      <c r="I8" s="10" t="s">
        <v>170</v>
      </c>
    </row>
    <row r="9" customFormat="false" ht="15" hidden="false" customHeight="false" outlineLevel="0" collapsed="false">
      <c r="A9" s="10" t="s">
        <v>29</v>
      </c>
      <c r="B9" s="10" t="s">
        <v>167</v>
      </c>
      <c r="C9" s="10" t="s">
        <v>171</v>
      </c>
      <c r="D9" s="10" t="s">
        <v>157</v>
      </c>
      <c r="E9" s="10" t="s">
        <v>172</v>
      </c>
      <c r="F9" s="18"/>
      <c r="G9" s="18"/>
      <c r="H9" s="10" t="s">
        <v>162</v>
      </c>
      <c r="I9" s="10" t="s">
        <v>173</v>
      </c>
    </row>
    <row r="10" customFormat="false" ht="15" hidden="false" customHeight="false" outlineLevel="0" collapsed="false">
      <c r="A10" s="10" t="s">
        <v>65</v>
      </c>
      <c r="B10" s="10" t="s">
        <v>155</v>
      </c>
      <c r="C10" s="10" t="s">
        <v>156</v>
      </c>
      <c r="D10" s="10" t="s">
        <v>174</v>
      </c>
      <c r="E10" s="10"/>
      <c r="F10" s="18" t="n">
        <v>0</v>
      </c>
      <c r="G10" s="18" t="n">
        <v>-0.0005</v>
      </c>
      <c r="H10" s="10" t="s">
        <v>54</v>
      </c>
      <c r="I10" s="10" t="s">
        <v>175</v>
      </c>
    </row>
    <row r="11" customFormat="false" ht="15" hidden="false" customHeight="false" outlineLevel="0" collapsed="false">
      <c r="A11" s="10" t="s">
        <v>65</v>
      </c>
      <c r="B11" s="10" t="s">
        <v>50</v>
      </c>
      <c r="C11" s="10" t="s">
        <v>164</v>
      </c>
      <c r="D11" s="10" t="s">
        <v>174</v>
      </c>
      <c r="E11" s="10"/>
      <c r="F11" s="18" t="n">
        <v>0.0005</v>
      </c>
      <c r="G11" s="18" t="n">
        <v>0</v>
      </c>
      <c r="H11" s="10" t="s">
        <v>54</v>
      </c>
      <c r="I11" s="10" t="s">
        <v>175</v>
      </c>
    </row>
    <row r="12" customFormat="false" ht="15" hidden="false" customHeight="false" outlineLevel="0" collapsed="false">
      <c r="A12" s="10" t="s">
        <v>65</v>
      </c>
      <c r="B12" s="10" t="s">
        <v>167</v>
      </c>
      <c r="C12" s="10" t="s">
        <v>168</v>
      </c>
      <c r="D12" s="10" t="s">
        <v>174</v>
      </c>
      <c r="E12" s="10"/>
      <c r="F12" s="18" t="n">
        <v>0.001</v>
      </c>
      <c r="G12" s="18" t="n">
        <v>0.0005</v>
      </c>
      <c r="H12" s="10" t="s">
        <v>54</v>
      </c>
      <c r="I12" s="10" t="s">
        <v>175</v>
      </c>
    </row>
  </sheetData>
  <autoFilter ref="A4:I12"/>
  <dataValidations count="4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B5:B304" type="list">
      <formula1>"Press,Normal,Slip"</formula1>
      <formula2>0</formula2>
    </dataValidation>
    <dataValidation allowBlank="false" errorStyle="stop" operator="between" showDropDown="false" showErrorMessage="false" showInputMessage="false" sqref="D5:D304" type="list">
      <formula1>"ISO,Limits"</formula1>
      <formula2>0</formula2>
    </dataValidation>
    <dataValidation allowBlank="false" errorStyle="stop" operator="between" showDropDown="false" showErrorMessage="false" showInputMessage="false" sqref="H5:H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7" t="s">
        <v>176</v>
      </c>
    </row>
    <row r="2" customFormat="false" ht="15" hidden="false" customHeight="false" outlineLevel="0" collapsed="false">
      <c r="A2" s="14" t="s">
        <v>177</v>
      </c>
    </row>
    <row r="4" customFormat="false" ht="31.5" hidden="false" customHeight="true" outlineLevel="0" collapsed="false">
      <c r="A4" s="15" t="s">
        <v>178</v>
      </c>
      <c r="B4" s="15" t="s">
        <v>84</v>
      </c>
      <c r="C4" s="15" t="s">
        <v>153</v>
      </c>
      <c r="D4" s="15" t="s">
        <v>52</v>
      </c>
      <c r="E4" s="15" t="s">
        <v>154</v>
      </c>
    </row>
    <row r="5" customFormat="false" ht="15" hidden="false" customHeight="false" outlineLevel="0" collapsed="false">
      <c r="A5" s="10" t="s">
        <v>179</v>
      </c>
      <c r="B5" s="10" t="n">
        <v>118</v>
      </c>
      <c r="C5" s="10" t="s">
        <v>54</v>
      </c>
      <c r="D5" s="10" t="s">
        <v>54</v>
      </c>
      <c r="E5" s="10" t="s">
        <v>180</v>
      </c>
    </row>
    <row r="6" customFormat="false" ht="15" hidden="false" customHeight="false" outlineLevel="0" collapsed="false">
      <c r="A6" s="10" t="s">
        <v>181</v>
      </c>
      <c r="B6" s="10" t="n">
        <v>90</v>
      </c>
      <c r="C6" s="10" t="s">
        <v>162</v>
      </c>
      <c r="D6" s="10" t="s">
        <v>54</v>
      </c>
      <c r="E6" s="10" t="s">
        <v>182</v>
      </c>
    </row>
    <row r="7" customFormat="false" ht="15" hidden="false" customHeight="false" outlineLevel="0" collapsed="false">
      <c r="A7" s="10" t="s">
        <v>183</v>
      </c>
      <c r="B7" s="10"/>
      <c r="C7" s="10" t="s">
        <v>162</v>
      </c>
      <c r="D7" s="10" t="s">
        <v>54</v>
      </c>
      <c r="E7" s="10" t="s">
        <v>184</v>
      </c>
    </row>
  </sheetData>
  <autoFilter ref="A4:E7"/>
  <dataValidations count="2">
    <dataValidation allowBlank="false" errorStyle="stop" operator="between" showDropDown="false" showErrorMessage="false" showInputMessage="false" sqref="C5:C304" type="list">
      <formula1>"Y,N"</formula1>
      <formula2>0</formula2>
    </dataValidation>
    <dataValidation allowBlank="false" errorStyle="stop" operator="between" showDropDown="false" showErrorMessage="false" showInputMessage="false" sqref="D5:D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7" t="s">
        <v>188</v>
      </c>
    </row>
    <row r="2" customFormat="false" ht="15" hidden="false" customHeight="false" outlineLevel="0" collapsed="false">
      <c r="A2" s="14" t="s">
        <v>189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190</v>
      </c>
      <c r="D4" s="15" t="s">
        <v>191</v>
      </c>
      <c r="E4" s="15" t="s">
        <v>52</v>
      </c>
    </row>
    <row r="5" customFormat="false" ht="15" hidden="false" customHeight="false" outlineLevel="0" collapsed="false">
      <c r="A5" s="10" t="s">
        <v>29</v>
      </c>
      <c r="B5" s="10" t="s">
        <v>56</v>
      </c>
      <c r="C5" s="16" t="n">
        <v>8</v>
      </c>
      <c r="D5" s="16" t="n">
        <v>0.5</v>
      </c>
      <c r="E5" s="10" t="s">
        <v>54</v>
      </c>
    </row>
    <row r="6" customFormat="false" ht="15" hidden="false" customHeight="false" outlineLevel="0" collapsed="false">
      <c r="A6" s="10" t="s">
        <v>29</v>
      </c>
      <c r="B6" s="10" t="s">
        <v>57</v>
      </c>
      <c r="C6" s="16" t="n">
        <v>10</v>
      </c>
      <c r="D6" s="16" t="n">
        <v>0.5</v>
      </c>
      <c r="E6" s="10" t="s">
        <v>54</v>
      </c>
    </row>
    <row r="7" customFormat="false" ht="15" hidden="false" customHeight="false" outlineLevel="0" collapsed="false">
      <c r="A7" s="10" t="s">
        <v>29</v>
      </c>
      <c r="B7" s="10" t="s">
        <v>58</v>
      </c>
      <c r="C7" s="16" t="n">
        <v>11</v>
      </c>
      <c r="D7" s="16" t="n">
        <v>0.5</v>
      </c>
      <c r="E7" s="10" t="s">
        <v>54</v>
      </c>
    </row>
    <row r="8" customFormat="false" ht="15" hidden="false" customHeight="false" outlineLevel="0" collapsed="false">
      <c r="A8" s="10" t="s">
        <v>29</v>
      </c>
      <c r="B8" s="10" t="s">
        <v>59</v>
      </c>
      <c r="C8" s="16" t="n">
        <v>13</v>
      </c>
      <c r="D8" s="16" t="n">
        <v>0.5</v>
      </c>
      <c r="E8" s="10" t="s">
        <v>54</v>
      </c>
    </row>
    <row r="9" customFormat="false" ht="15" hidden="false" customHeight="false" outlineLevel="0" collapsed="false">
      <c r="A9" s="10" t="s">
        <v>29</v>
      </c>
      <c r="B9" s="10" t="s">
        <v>60</v>
      </c>
      <c r="C9" s="16" t="n">
        <v>16</v>
      </c>
      <c r="D9" s="16" t="n">
        <v>1</v>
      </c>
      <c r="E9" s="10" t="s">
        <v>54</v>
      </c>
    </row>
    <row r="10" customFormat="false" ht="15" hidden="false" customHeight="false" outlineLevel="0" collapsed="false">
      <c r="A10" s="10" t="s">
        <v>29</v>
      </c>
      <c r="B10" s="10" t="s">
        <v>61</v>
      </c>
      <c r="C10" s="16" t="n">
        <v>20</v>
      </c>
      <c r="D10" s="16" t="n">
        <v>1</v>
      </c>
      <c r="E10" s="10" t="s">
        <v>54</v>
      </c>
    </row>
    <row r="11" customFormat="false" ht="15" hidden="false" customHeight="false" outlineLevel="0" collapsed="false">
      <c r="A11" s="10" t="s">
        <v>29</v>
      </c>
      <c r="B11" s="10" t="s">
        <v>62</v>
      </c>
      <c r="C11" s="16" t="n">
        <v>22</v>
      </c>
      <c r="D11" s="16" t="n">
        <v>1</v>
      </c>
      <c r="E11" s="10" t="s">
        <v>54</v>
      </c>
    </row>
    <row r="12" customFormat="false" ht="15" hidden="false" customHeight="false" outlineLevel="0" collapsed="false">
      <c r="A12" s="10" t="s">
        <v>29</v>
      </c>
      <c r="B12" s="10" t="s">
        <v>63</v>
      </c>
      <c r="C12" s="16" t="n">
        <v>28</v>
      </c>
      <c r="D12" s="16" t="n">
        <v>1</v>
      </c>
      <c r="E12" s="10" t="s">
        <v>54</v>
      </c>
    </row>
    <row r="13" customFormat="false" ht="15" hidden="false" customHeight="false" outlineLevel="0" collapsed="false">
      <c r="A13" s="10" t="s">
        <v>29</v>
      </c>
      <c r="B13" s="10" t="s">
        <v>64</v>
      </c>
      <c r="C13" s="16" t="n">
        <v>34</v>
      </c>
      <c r="D13" s="16" t="n">
        <v>1</v>
      </c>
      <c r="E13" s="10" t="s">
        <v>54</v>
      </c>
    </row>
    <row r="14" customFormat="false" ht="15" hidden="false" customHeight="false" outlineLevel="0" collapsed="false">
      <c r="A14" s="10" t="s">
        <v>65</v>
      </c>
      <c r="B14" s="10" t="s">
        <v>66</v>
      </c>
      <c r="C14" s="16" t="n">
        <v>0.28</v>
      </c>
      <c r="D14" s="16" t="n">
        <v>0.02</v>
      </c>
      <c r="E14" s="10" t="s">
        <v>54</v>
      </c>
    </row>
    <row r="15" customFormat="false" ht="15" hidden="false" customHeight="false" outlineLevel="0" collapsed="false">
      <c r="A15" s="10" t="s">
        <v>65</v>
      </c>
      <c r="B15" s="10" t="s">
        <v>67</v>
      </c>
      <c r="C15" s="16" t="n">
        <v>0.34</v>
      </c>
      <c r="D15" s="16" t="n">
        <v>0.02</v>
      </c>
      <c r="E15" s="10" t="s">
        <v>54</v>
      </c>
    </row>
    <row r="16" customFormat="false" ht="15" hidden="false" customHeight="false" outlineLevel="0" collapsed="false">
      <c r="A16" s="10" t="s">
        <v>65</v>
      </c>
      <c r="B16" s="10" t="s">
        <v>68</v>
      </c>
      <c r="C16" s="16" t="n">
        <v>0.38</v>
      </c>
      <c r="D16" s="16" t="n">
        <v>0.02</v>
      </c>
      <c r="E16" s="10" t="s">
        <v>54</v>
      </c>
    </row>
    <row r="17" customFormat="false" ht="15" hidden="false" customHeight="false" outlineLevel="0" collapsed="false">
      <c r="A17" s="10" t="s">
        <v>65</v>
      </c>
      <c r="B17" s="10" t="s">
        <v>69</v>
      </c>
      <c r="C17" s="16" t="n">
        <v>0.44</v>
      </c>
      <c r="D17" s="16" t="n">
        <v>0.02</v>
      </c>
      <c r="E17" s="10" t="s">
        <v>54</v>
      </c>
    </row>
    <row r="18" customFormat="false" ht="15" hidden="false" customHeight="false" outlineLevel="0" collapsed="false">
      <c r="A18" s="10" t="s">
        <v>65</v>
      </c>
      <c r="B18" s="10" t="s">
        <v>70</v>
      </c>
      <c r="C18" s="16" t="n">
        <v>0.5</v>
      </c>
      <c r="D18" s="16" t="n">
        <v>0.04</v>
      </c>
      <c r="E18" s="10" t="s">
        <v>54</v>
      </c>
    </row>
    <row r="19" customFormat="false" ht="15" hidden="false" customHeight="false" outlineLevel="0" collapsed="false">
      <c r="A19" s="10" t="s">
        <v>65</v>
      </c>
      <c r="B19" s="10" t="s">
        <v>71</v>
      </c>
      <c r="C19" s="16" t="n">
        <v>0.62</v>
      </c>
      <c r="D19" s="16" t="n">
        <v>0.04</v>
      </c>
      <c r="E19" s="10" t="s">
        <v>54</v>
      </c>
    </row>
    <row r="20" customFormat="false" ht="15" hidden="false" customHeight="false" outlineLevel="0" collapsed="false">
      <c r="A20" s="10" t="s">
        <v>65</v>
      </c>
      <c r="B20" s="10" t="s">
        <v>72</v>
      </c>
      <c r="C20" s="16" t="n">
        <v>0.69</v>
      </c>
      <c r="D20" s="16" t="n">
        <v>0.04</v>
      </c>
      <c r="E20" s="10" t="s">
        <v>54</v>
      </c>
    </row>
    <row r="21" customFormat="false" ht="15" hidden="false" customHeight="false" outlineLevel="0" collapsed="false">
      <c r="A21" s="10" t="s">
        <v>65</v>
      </c>
      <c r="B21" s="10" t="s">
        <v>73</v>
      </c>
      <c r="C21" s="16" t="n">
        <v>0.88</v>
      </c>
      <c r="D21" s="16" t="n">
        <v>0.04</v>
      </c>
      <c r="E21" s="10" t="s">
        <v>54</v>
      </c>
    </row>
  </sheetData>
  <autoFilter ref="A4:E21"/>
  <dataValidations count="2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E5:E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4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7" t="s">
        <v>192</v>
      </c>
    </row>
    <row r="2" customFormat="false" ht="15" hidden="false" customHeight="false" outlineLevel="0" collapsed="false">
      <c r="A2" s="14" t="s">
        <v>193</v>
      </c>
    </row>
    <row r="4" customFormat="false" ht="31.5" hidden="false" customHeight="true" outlineLevel="0" collapsed="false">
      <c r="A4" s="15" t="s">
        <v>46</v>
      </c>
      <c r="B4" s="15" t="s">
        <v>47</v>
      </c>
      <c r="C4" s="15" t="s">
        <v>194</v>
      </c>
      <c r="D4" s="15" t="s">
        <v>90</v>
      </c>
      <c r="E4" s="15" t="s">
        <v>92</v>
      </c>
      <c r="F4" s="15" t="s">
        <v>93</v>
      </c>
      <c r="G4" s="15" t="s">
        <v>52</v>
      </c>
    </row>
    <row r="5" customFormat="false" ht="15" hidden="false" customHeight="false" outlineLevel="0" collapsed="false">
      <c r="A5" s="10" t="s">
        <v>29</v>
      </c>
      <c r="B5" s="10" t="s">
        <v>195</v>
      </c>
      <c r="C5" s="10" t="s">
        <v>196</v>
      </c>
      <c r="D5" s="16" t="n">
        <v>8.4</v>
      </c>
      <c r="E5" s="17" t="n">
        <f aca="false">ROUND(D5*Settings!$B$5,3)</f>
        <v>12.6</v>
      </c>
      <c r="F5" s="17" t="n">
        <f aca="false">ROUND(E5+D5*Settings!$B$6,3)</f>
        <v>16.8</v>
      </c>
      <c r="G5" s="10" t="s">
        <v>54</v>
      </c>
    </row>
    <row r="6" customFormat="false" ht="15" hidden="false" customHeight="false" outlineLevel="0" collapsed="false">
      <c r="A6" s="10" t="s">
        <v>29</v>
      </c>
      <c r="B6" s="10" t="s">
        <v>197</v>
      </c>
      <c r="C6" s="10" t="s">
        <v>196</v>
      </c>
      <c r="D6" s="16" t="n">
        <v>11.2</v>
      </c>
      <c r="E6" s="17" t="n">
        <f aca="false">ROUND(D6*Settings!$B$5,3)</f>
        <v>16.8</v>
      </c>
      <c r="F6" s="17" t="n">
        <f aca="false">ROUND(E6+D6*Settings!$B$6,3)</f>
        <v>22.4</v>
      </c>
      <c r="G6" s="10" t="s">
        <v>54</v>
      </c>
    </row>
    <row r="7" customFormat="false" ht="15" hidden="false" customHeight="false" outlineLevel="0" collapsed="false">
      <c r="A7" s="10" t="s">
        <v>29</v>
      </c>
      <c r="B7" s="10" t="s">
        <v>198</v>
      </c>
      <c r="C7" s="10" t="s">
        <v>196</v>
      </c>
      <c r="D7" s="16" t="n">
        <v>14.8</v>
      </c>
      <c r="E7" s="17" t="n">
        <f aca="false">ROUND(D7*Settings!$B$5,3)</f>
        <v>22.2</v>
      </c>
      <c r="F7" s="17" t="n">
        <f aca="false">ROUND(E7+D7*Settings!$B$6,3)</f>
        <v>29.6</v>
      </c>
      <c r="G7" s="10" t="s">
        <v>54</v>
      </c>
    </row>
    <row r="8" customFormat="false" ht="15" hidden="false" customHeight="false" outlineLevel="0" collapsed="false">
      <c r="A8" s="10" t="s">
        <v>29</v>
      </c>
      <c r="B8" s="10" t="s">
        <v>199</v>
      </c>
      <c r="C8" s="10" t="s">
        <v>196</v>
      </c>
      <c r="D8" s="16" t="n">
        <v>18.4</v>
      </c>
      <c r="E8" s="17" t="n">
        <f aca="false">ROUND(D8*Settings!$B$5,3)</f>
        <v>27.6</v>
      </c>
      <c r="F8" s="17" t="n">
        <f aca="false">ROUND(E8+D8*Settings!$B$6,3)</f>
        <v>36.8</v>
      </c>
      <c r="G8" s="10" t="s">
        <v>54</v>
      </c>
    </row>
    <row r="9" customFormat="false" ht="15" hidden="false" customHeight="false" outlineLevel="0" collapsed="false">
      <c r="A9" s="10" t="s">
        <v>29</v>
      </c>
      <c r="B9" s="10" t="s">
        <v>200</v>
      </c>
      <c r="C9" s="10" t="s">
        <v>196</v>
      </c>
      <c r="D9" s="16" t="n">
        <v>24</v>
      </c>
      <c r="E9" s="17" t="n">
        <f aca="false">ROUND(D9*Settings!$B$5,3)</f>
        <v>36</v>
      </c>
      <c r="F9" s="17" t="n">
        <f aca="false">ROUND(E9+D9*Settings!$B$6,3)</f>
        <v>48</v>
      </c>
      <c r="G9" s="10" t="s">
        <v>54</v>
      </c>
    </row>
    <row r="10" customFormat="false" ht="15" hidden="false" customHeight="false" outlineLevel="0" collapsed="false">
      <c r="A10" s="10" t="s">
        <v>65</v>
      </c>
      <c r="B10" s="10" t="s">
        <v>201</v>
      </c>
      <c r="C10" s="10" t="s">
        <v>202</v>
      </c>
      <c r="D10" s="16" t="n">
        <v>0.25</v>
      </c>
      <c r="E10" s="17" t="n">
        <f aca="false">ROUND(D10*Settings!$B$5,3)</f>
        <v>0.375</v>
      </c>
      <c r="F10" s="17" t="n">
        <f aca="false">ROUND(E10+D10*Settings!$B$6,3)</f>
        <v>0.5</v>
      </c>
      <c r="G10" s="10" t="s">
        <v>54</v>
      </c>
    </row>
    <row r="11" customFormat="false" ht="15" hidden="false" customHeight="false" outlineLevel="0" collapsed="false">
      <c r="A11" s="10" t="s">
        <v>65</v>
      </c>
      <c r="B11" s="10" t="s">
        <v>203</v>
      </c>
      <c r="C11" s="10" t="s">
        <v>202</v>
      </c>
      <c r="D11" s="16" t="n">
        <v>0.34</v>
      </c>
      <c r="E11" s="17" t="n">
        <f aca="false">ROUND(D11*Settings!$B$5,3)</f>
        <v>0.51</v>
      </c>
      <c r="F11" s="17" t="n">
        <f aca="false">ROUND(E11+D11*Settings!$B$6,3)</f>
        <v>0.68</v>
      </c>
      <c r="G11" s="10" t="s">
        <v>54</v>
      </c>
    </row>
    <row r="12" customFormat="false" ht="15" hidden="false" customHeight="false" outlineLevel="0" collapsed="false">
      <c r="A12" s="10" t="s">
        <v>65</v>
      </c>
      <c r="B12" s="10" t="s">
        <v>70</v>
      </c>
      <c r="C12" s="10" t="s">
        <v>202</v>
      </c>
      <c r="D12" s="16" t="n">
        <v>0.44</v>
      </c>
      <c r="E12" s="17" t="n">
        <f aca="false">ROUND(D12*Settings!$B$5,3)</f>
        <v>0.66</v>
      </c>
      <c r="F12" s="17" t="n">
        <f aca="false">ROUND(E12+D12*Settings!$B$6,3)</f>
        <v>0.88</v>
      </c>
      <c r="G12" s="10" t="s">
        <v>54</v>
      </c>
    </row>
    <row r="13" customFormat="false" ht="15" hidden="false" customHeight="false" outlineLevel="0" collapsed="false">
      <c r="A13" s="10" t="s">
        <v>65</v>
      </c>
      <c r="B13" s="10" t="s">
        <v>72</v>
      </c>
      <c r="C13" s="10" t="s">
        <v>202</v>
      </c>
      <c r="D13" s="16" t="n">
        <v>0.58</v>
      </c>
      <c r="E13" s="17" t="n">
        <f aca="false">ROUND(D13*Settings!$B$5,3)</f>
        <v>0.87</v>
      </c>
      <c r="F13" s="17" t="n">
        <f aca="false">ROUND(E13+D13*Settings!$B$6,3)</f>
        <v>1.16</v>
      </c>
      <c r="G13" s="10" t="s">
        <v>54</v>
      </c>
    </row>
    <row r="14" customFormat="false" ht="15" hidden="false" customHeight="false" outlineLevel="0" collapsed="false">
      <c r="A14" s="10" t="s">
        <v>65</v>
      </c>
      <c r="B14" s="10" t="s">
        <v>73</v>
      </c>
      <c r="C14" s="10" t="s">
        <v>202</v>
      </c>
      <c r="D14" s="16" t="n">
        <v>0.72</v>
      </c>
      <c r="E14" s="17" t="n">
        <f aca="false">ROUND(D14*Settings!$B$5,3)</f>
        <v>1.08</v>
      </c>
      <c r="F14" s="17" t="n">
        <f aca="false">ROUND(E14+D14*Settings!$B$6,3)</f>
        <v>1.44</v>
      </c>
      <c r="G14" s="10" t="s">
        <v>54</v>
      </c>
    </row>
    <row r="15" customFormat="false" ht="15" hidden="false" customHeight="false" outlineLevel="0" collapsed="false">
      <c r="A15" s="10" t="s">
        <v>65</v>
      </c>
      <c r="B15" s="10" t="s">
        <v>204</v>
      </c>
      <c r="C15" s="10" t="s">
        <v>202</v>
      </c>
      <c r="D15" s="16" t="n">
        <v>0.92</v>
      </c>
      <c r="E15" s="17" t="n">
        <f aca="false">ROUND(D15*Settings!$B$5,3)</f>
        <v>1.38</v>
      </c>
      <c r="F15" s="17" t="n">
        <f aca="false">ROUND(E15+D15*Settings!$B$6,3)</f>
        <v>1.84</v>
      </c>
      <c r="G15" s="10" t="s">
        <v>54</v>
      </c>
    </row>
  </sheetData>
  <autoFilter ref="A4:G15"/>
  <dataValidations count="2">
    <dataValidation allowBlank="false" errorStyle="stop" operator="between" showDropDown="false" showErrorMessage="false" showInputMessage="false" sqref="A5:A304" type="list">
      <formula1>"Metric,Imperial"</formula1>
      <formula2>0</formula2>
    </dataValidation>
    <dataValidation allowBlank="false" errorStyle="stop" operator="between" showDropDown="false" showErrorMessage="false" showInputMessage="false" sqref="G5:G3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2026-10-17T15:51:26Z</dcterms:created>
  <dc:creator>openpyxl</dc:creator>
  <dc:description/>
  <dc:language>en-US</dc:language>
  <cp:lastModifiedBy/>
  <dcterms:modified xsi:type="dcterms:W3CDTF">2026-10-17T15:51:26Z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